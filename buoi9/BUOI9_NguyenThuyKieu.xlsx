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Hoc_tap\Hoctap2025\nam4\quanliduanphanmem\"/>
    </mc:Choice>
  </mc:AlternateContent>
  <xr:revisionPtr revIDLastSave="0" documentId="13_ncr:1_{916E3EAE-0E8B-4962-B4CF-05CBEA9669EA}" xr6:coauthVersionLast="47" xr6:coauthVersionMax="47" xr10:uidLastSave="{00000000-0000-0000-0000-000000000000}"/>
  <bookViews>
    <workbookView xWindow="-110" yWindow="-110" windowWidth="22620" windowHeight="13500" firstSheet="2" activeTab="2" xr2:uid="{00000000-000D-0000-FFFF-FFFF00000000}"/>
  </bookViews>
  <sheets>
    <sheet name="WSM_Project" sheetId="1" r:id="rId1"/>
    <sheet name="WSM_Function" sheetId="2" r:id="rId2"/>
    <sheet name="NPV" sheetId="3" r:id="rId3"/>
    <sheet name="ROI" sheetId="4" r:id="rId4"/>
    <sheet name="Paypack" sheetId="5" r:id="rId5"/>
    <sheet name="KICK-OFF MEETING" sheetId="6" r:id="rId6"/>
    <sheet name="TEAM CONTRACT"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5" l="1"/>
  <c r="D3" i="5" s="1"/>
  <c r="D4" i="5" s="1"/>
  <c r="D5" i="5" s="1"/>
  <c r="D6" i="5" s="1"/>
  <c r="B6" i="3"/>
  <c r="G4" i="3"/>
  <c r="E3" i="5"/>
  <c r="E4" i="5" s="1"/>
  <c r="E5" i="5" s="1"/>
  <c r="E6" i="5" s="1"/>
  <c r="C10" i="4"/>
  <c r="D10" i="4"/>
  <c r="E10" i="4"/>
  <c r="F10" i="4"/>
  <c r="B10" i="4"/>
  <c r="C6" i="4"/>
  <c r="D6" i="4"/>
  <c r="E6" i="4"/>
  <c r="F6" i="4"/>
  <c r="B6" i="4"/>
  <c r="C6" i="3"/>
  <c r="G5" i="3"/>
  <c r="H4" i="2"/>
  <c r="H5" i="2"/>
  <c r="H6" i="2"/>
  <c r="H7" i="2"/>
  <c r="H8" i="2"/>
  <c r="H9" i="2"/>
  <c r="H3" i="2"/>
  <c r="F4" i="2"/>
  <c r="F5" i="2"/>
  <c r="F6" i="2"/>
  <c r="F7" i="2"/>
  <c r="F8" i="2"/>
  <c r="F9" i="2"/>
  <c r="F3" i="2"/>
  <c r="B10" i="2"/>
  <c r="D10" i="2"/>
  <c r="D4" i="2"/>
  <c r="D5" i="2"/>
  <c r="D6" i="2"/>
  <c r="D7" i="2"/>
  <c r="D8" i="2"/>
  <c r="D9" i="2"/>
  <c r="D3" i="2"/>
  <c r="D4" i="1"/>
  <c r="D5" i="1"/>
  <c r="D6" i="1"/>
  <c r="D7" i="1"/>
  <c r="D8" i="1"/>
  <c r="D9" i="1"/>
  <c r="D3" i="1"/>
  <c r="C12" i="4" l="1"/>
  <c r="C13" i="4" s="1"/>
  <c r="D12" i="4"/>
  <c r="G10" i="4"/>
  <c r="F12" i="4"/>
  <c r="E12" i="4"/>
  <c r="G6" i="4"/>
  <c r="D6" i="3"/>
  <c r="H10" i="2"/>
  <c r="F10" i="2"/>
  <c r="D10" i="1"/>
  <c r="D13" i="4" l="1"/>
  <c r="E13" i="4" s="1"/>
  <c r="F13" i="4" s="1"/>
  <c r="G12" i="4" s="1"/>
  <c r="B15" i="4"/>
  <c r="E6" i="3"/>
  <c r="F6" i="3" s="1"/>
  <c r="B7" i="3"/>
  <c r="G6" i="3" l="1"/>
</calcChain>
</file>

<file path=xl/sharedStrings.xml><?xml version="1.0" encoding="utf-8"?>
<sst xmlns="http://schemas.openxmlformats.org/spreadsheetml/2006/main" count="97" uniqueCount="85">
  <si>
    <t>Mô hình trọng số - WSM (Dự án)</t>
  </si>
  <si>
    <t>Tiêu chí</t>
  </si>
  <si>
    <t>Trọng số (%)</t>
  </si>
  <si>
    <t>Điểm dự án</t>
  </si>
  <si>
    <t>Trọng số x điểm</t>
  </si>
  <si>
    <t>Tổng điểm WSM</t>
  </si>
  <si>
    <t>Mô hình trọng số - WSM (Chức năng)</t>
  </si>
  <si>
    <t>Năm</t>
  </si>
  <si>
    <t>Hệ số chiết khấu</t>
  </si>
  <si>
    <t>Lợi ích đã chiết khấu</t>
  </si>
  <si>
    <t>Tổng chi phí lũy kế</t>
  </si>
  <si>
    <t>Tổng lợi ích lũy kế</t>
  </si>
  <si>
    <t>TOTAL</t>
  </si>
  <si>
    <t>Tỷ lệ chiết khấu</t>
  </si>
  <si>
    <t>Lợi ích (VNĐ)</t>
  </si>
  <si>
    <t>Chi phí (VNĐ)</t>
  </si>
  <si>
    <t>Thời gian triển khai</t>
  </si>
  <si>
    <t>Mục tiêu, phạm vi, mục đích rõ ràng</t>
  </si>
  <si>
    <t>Tài liệu hỗ trợ, hướng dẫn</t>
  </si>
  <si>
    <t>Giao diện đơn giản, thân thiện</t>
  </si>
  <si>
    <t>Xác định công cụ, môi trường</t>
  </si>
  <si>
    <t>Hiệu quả, độ chính xác</t>
  </si>
  <si>
    <t>Rủi ro kỹ thuật và sai số thấp</t>
  </si>
  <si>
    <t>Mức độ cần thiết với người dùng</t>
  </si>
  <si>
    <t>Tác động tới độ chính xác, giá trị dự báo</t>
  </si>
  <si>
    <t>Khả năng triển khai nhanh</t>
  </si>
  <si>
    <t>Khả năng mở rộng thêm</t>
  </si>
  <si>
    <t>Tính thẩm mỹ/ giao diện</t>
  </si>
  <si>
    <t>Hiệu năng và tài nguyên cần thiết</t>
  </si>
  <si>
    <t>Báo cáo demo</t>
  </si>
  <si>
    <t>Tổng điểm WSM của Dự án</t>
  </si>
  <si>
    <t>Điểm F1</t>
  </si>
  <si>
    <t>Điểm F2</t>
  </si>
  <si>
    <t>Điểm F3</t>
  </si>
  <si>
    <t>F1 – Thu thập và xử lý dữ liệu</t>
  </si>
  <si>
    <t>F2 – Huấn luyện mô hình và đánh giá</t>
  </si>
  <si>
    <t>F3 – Dự báo và hiển thị ứng dụng</t>
  </si>
  <si>
    <t>Năm 1</t>
  </si>
  <si>
    <t>Năm 2</t>
  </si>
  <si>
    <t>Năm 3</t>
  </si>
  <si>
    <t>Năm 4</t>
  </si>
  <si>
    <t>NPV</t>
  </si>
  <si>
    <t>Lợi ích</t>
  </si>
  <si>
    <t>Chi phí</t>
  </si>
  <si>
    <t>Dòng tiền</t>
  </si>
  <si>
    <t>ROI</t>
  </si>
  <si>
    <t xml:space="preserve">Chi phí </t>
  </si>
  <si>
    <t xml:space="preserve">Chi phí đã chiết khấu </t>
  </si>
  <si>
    <t>Lợi ích trừ chi phí ( đã chiết khấu)</t>
  </si>
  <si>
    <t>Lợi ích lũy kế – chi phí lũy kế (đã chiết khấu)</t>
  </si>
  <si>
    <t>TỔNG</t>
  </si>
  <si>
    <t>Năm 0</t>
  </si>
  <si>
    <t>BIÊN BẢN HỌP KHỞI ĐỘNG DỰ ÁN (KICK-OFF MEETING) 
27/10/2025</t>
  </si>
  <si>
    <r>
      <t xml:space="preserve">
</t>
    </r>
    <r>
      <rPr>
        <b/>
        <sz val="11"/>
        <color theme="1"/>
        <rFont val="Calibri"/>
        <family val="2"/>
        <scheme val="minor"/>
      </rPr>
      <t>Tên dự án:</t>
    </r>
    <r>
      <rPr>
        <sz val="11"/>
        <color theme="1"/>
        <rFont val="Calibri"/>
        <family val="2"/>
        <scheme val="minor"/>
      </rPr>
      <t xml:space="preserve"> Ứng dụng dự báo Thời tiết Sài Gòn bằng LSTM -Flutter
</t>
    </r>
    <r>
      <rPr>
        <b/>
        <sz val="11"/>
        <color theme="1"/>
        <rFont val="Calibri"/>
        <family val="2"/>
        <scheme val="minor"/>
      </rPr>
      <t>Mục tiêu buổi họp:</t>
    </r>
    <r>
      <rPr>
        <sz val="11"/>
        <color theme="1"/>
        <rFont val="Calibri"/>
        <family val="2"/>
        <scheme val="minor"/>
      </rPr>
      <t xml:space="preserve"> Khởi động dự án một cách hiệu quả bằng cách giới thiệu các bên liên quan chính, rà soát mục tiêu dự án, thống nhất phạm vi, thời gian, chi phí, và kế hoạch hành động trong các giai đoạn sắp tới.
</t>
    </r>
    <r>
      <rPr>
        <b/>
        <sz val="11"/>
        <color theme="1"/>
        <rFont val="Calibri"/>
        <family val="2"/>
        <scheme val="minor"/>
      </rPr>
      <t>Nội dung chương trình:</t>
    </r>
    <r>
      <rPr>
        <sz val="11"/>
        <color theme="1"/>
        <rFont val="Calibri"/>
        <family val="2"/>
        <scheme val="minor"/>
      </rPr>
      <t xml:space="preserve">
- Giới thiệu thành phần tham dự.
- Trình bày bối cảnh và lý do thực hiện dự án.
- Rà soát các tài liệu liên quan (Project Charter, Business Case, Kế hoạch tổng thể).
- Thảo luận về cơ cấu tổ chức và vai trò trong dự án.
- Thống nhất phạm vi, tiến độ, mục tiêu chi phí của dự án.
- Trao đổi các vấn đề quan trọng khác (rủi ro, truyền thông, báo cáo tiến độ).
- Ghi nhận danh sách các công việc hành động (Action Items) cần thực hiện sau cuộc họp.
</t>
    </r>
    <r>
      <rPr>
        <b/>
        <sz val="11"/>
        <color theme="1"/>
        <rFont val="Calibri"/>
        <family val="2"/>
        <scheme val="minor"/>
      </rPr>
      <t xml:space="preserve">Danh sách công việc sau cuộc họp
</t>
    </r>
  </si>
  <si>
    <t>STT</t>
  </si>
  <si>
    <t>Công việc cần thực hiện</t>
  </si>
  <si>
    <t>Người phụ trách</t>
  </si>
  <si>
    <t>Thời hạn hoàn thành</t>
  </si>
  <si>
    <t>Chuẩn bị tài liệu chi tiết mô hình LSTM và dữ liệu thời tiết</t>
  </si>
  <si>
    <t>Nguyễn Văn A</t>
  </si>
  <si>
    <t>Thiết lập cơ sở dữ liệu PostgreSQL và API FastAPI</t>
  </si>
  <si>
    <t>Trần Thị B</t>
  </si>
  <si>
    <t>15/11/2025</t>
  </si>
  <si>
    <t>Thiết kế giao diện Flutter – màn hình hiển thị thời tiết</t>
  </si>
  <si>
    <t>Lê Văn C</t>
  </si>
  <si>
    <t>25/11/2025</t>
  </si>
  <si>
    <t>Báo cáo tiến độ giai đoạn 1 cho giảng viên hướng dẫn</t>
  </si>
  <si>
    <t>Nhóm dự án</t>
  </si>
  <si>
    <t>30/11/2025</t>
  </si>
  <si>
    <t>HỢP ĐỒNG LÀM VIỆC NHÓM (TEAM CONTRACT)</t>
  </si>
  <si>
    <r>
      <t xml:space="preserve">
</t>
    </r>
    <r>
      <rPr>
        <b/>
        <sz val="11"/>
        <color theme="1"/>
        <rFont val="Calibri"/>
        <family val="2"/>
        <scheme val="minor"/>
      </rPr>
      <t>Tên dự án:</t>
    </r>
    <r>
      <rPr>
        <sz val="11"/>
        <color theme="1"/>
        <rFont val="Calibri"/>
        <family val="2"/>
        <scheme val="minor"/>
      </rPr>
      <t xml:space="preserve"> Ứng dụng Dự Báo Thời Tiết TP.HCM bằng LSTM – Flutter
</t>
    </r>
    <r>
      <rPr>
        <b/>
        <sz val="11"/>
        <color theme="1"/>
        <rFont val="Calibri"/>
        <family val="2"/>
        <scheme val="minor"/>
      </rPr>
      <t xml:space="preserve">Thành viên nhóm &amp; Xác nhận cam kết: 
</t>
    </r>
  </si>
  <si>
    <t>Họ và tên</t>
  </si>
  <si>
    <t>Xác nhận tham gia (Ký tên)</t>
  </si>
  <si>
    <t>Trần Văn B</t>
  </si>
  <si>
    <t>- Làm việc chủ động, dự đoán trước các vấn đề tiềm ẩn và tìm cách ngăn ngừa chúng.
- Luôn cập nhật thông tin kịp thời cho các thành viên khác về tiến độ và vấn đề dự án.
- Hành động vì lợi ích chung của toàn bộ nhóm và dự án.</t>
  </si>
  <si>
    <r>
      <t xml:space="preserve">
</t>
    </r>
    <r>
      <rPr>
        <b/>
        <sz val="11"/>
        <color theme="1"/>
        <rFont val="Calibri"/>
        <family val="2"/>
        <scheme val="minor"/>
      </rPr>
      <t>I. Quy tắc ứng xử:</t>
    </r>
    <r>
      <rPr>
        <sz val="11"/>
        <color theme="1"/>
        <rFont val="Calibri"/>
        <family val="2"/>
        <scheme val="minor"/>
      </rPr>
      <t xml:space="preserve">
Là nhóm dự án, chúng tôi cam kết:</t>
    </r>
  </si>
  <si>
    <r>
      <t xml:space="preserve">
</t>
    </r>
    <r>
      <rPr>
        <b/>
        <sz val="11"/>
        <color theme="1"/>
        <rFont val="Calibri"/>
        <family val="2"/>
        <scheme val="minor"/>
      </rPr>
      <t>II. Tham gia &amp; Hợp tác:</t>
    </r>
    <r>
      <rPr>
        <sz val="11"/>
        <color theme="1"/>
        <rFont val="Calibri"/>
        <family val="2"/>
        <scheme val="minor"/>
      </rPr>
      <t xml:space="preserve">
Chúng tôi sẽ:</t>
    </r>
  </si>
  <si>
    <t>- Trung thực và cởi mở trong mọi hoạt động của dự án.
- Khuyến khích sự đa dạng và tôn trọng ý kiến của mọi thành viên.
- Tạo cơ hội để mọi người cùng đóng góp và tham gia bình đẳng.
- Luôn cởi mở với các ý tưởng mới, sáng tạo.
- Mỗi lần chỉ thảo luận một chủ đề để đảm bảo hiệu quả.
- Thông báo sớm cho Trưởng nhóm nếu không thể tham dự cuộc họp hoặc có nguy cơ trễ hạn giao nhiệm vụ.</t>
  </si>
  <si>
    <r>
      <t xml:space="preserve">
</t>
    </r>
    <r>
      <rPr>
        <b/>
        <sz val="11"/>
        <color theme="1"/>
        <rFont val="Calibri"/>
        <family val="2"/>
        <scheme val="minor"/>
      </rPr>
      <t xml:space="preserve">III. Giao tiếp (Communication):
</t>
    </r>
    <r>
      <rPr>
        <sz val="11"/>
        <color theme="1"/>
        <rFont val="Calibri"/>
        <family val="2"/>
        <scheme val="minor"/>
      </rPr>
      <t>Nhóm thống nhất sẽ:</t>
    </r>
  </si>
  <si>
    <t>- Cùng nhau lựa chọn hình thức giao tiếp phù hợp (trực tiếp, email, nhóm Zalo, Google Meet...).
- Sử dụng kênh nhóm (Zalo / Google Meet) để trao đổi, cập nhật tiến độ hàng tuần.
- Trưởng nhóm sẽ phụ trách điều phối các cuộc họp và thông báo nội dung, thời gian cụ thể.
- Mỗi thành viên phải báo cáo tiến độ công việc trước 17h thứ Sáu hàng tuần.
- Thể hiện ý tưởng một cách rõ ràng, ngắn gọn, tôn trọng người khác.
- Duy trì các cuộc thảo luận đúng trọng tâm, tập trung vào kết quả.</t>
  </si>
  <si>
    <r>
      <t xml:space="preserve">
</t>
    </r>
    <r>
      <rPr>
        <b/>
        <sz val="11"/>
        <color theme="1"/>
        <rFont val="Calibri"/>
        <family val="2"/>
        <scheme val="minor"/>
      </rPr>
      <t>IV. Giải quyết vấn đề:</t>
    </r>
    <r>
      <rPr>
        <sz val="11"/>
        <color theme="1"/>
        <rFont val="Calibri"/>
        <family val="2"/>
        <scheme val="minor"/>
      </rPr>
      <t xml:space="preserve">
Chúng tôi sẽ:</t>
    </r>
  </si>
  <si>
    <t>- Khuyến khích tất cả các thành viên cùng tham gia tìm giải pháp cho vấn đề.
- Chỉ sử dụng phản hồi mang tính xây dựng, tránh đổ lỗi cho cá nhân.
- Luôn tìm cách cải thiện và phát triển dự án dựa trên ý kiến đóng góp của nhóm.</t>
  </si>
  <si>
    <r>
      <t xml:space="preserve">
</t>
    </r>
    <r>
      <rPr>
        <b/>
        <sz val="11"/>
        <color theme="1"/>
        <rFont val="Calibri"/>
        <family val="2"/>
        <scheme val="minor"/>
      </rPr>
      <t xml:space="preserve">V. Hướng dẫn họp nhóm:
</t>
    </r>
    <r>
      <rPr>
        <sz val="11"/>
        <color theme="1"/>
        <rFont val="Calibri"/>
        <family val="2"/>
        <scheme val="minor"/>
      </rPr>
      <t>Nhóm sẽ:</t>
    </r>
  </si>
  <si>
    <t>- Tổ chức họp trực tiếp hoặc online vào thứ Ba đầu tiên và thứ Ba giữa tháng.
- Họp nhiều hơn trong tháng đầu tiên để thống nhất quy trình làm việc.
- Sử dụng Google Meet / Zoom cho thành viên không thể tham dự trực tiếp.
- Ghi biên bản họp và gửi lại qua email/nhóm Zalo trong vòng 24 giờ sau mỗi buổi họp.
- Trong biên bản họp phải nêu rõ: các quyết định đã thống nhất, nhiệm vụ giao cụ thể, và thời hạn hoàn thành.</t>
  </si>
  <si>
    <r>
      <t xml:space="preserve">
</t>
    </r>
    <r>
      <rPr>
        <b/>
        <sz val="11"/>
        <color theme="1"/>
        <rFont val="Calibri"/>
        <family val="2"/>
        <scheme val="minor"/>
      </rPr>
      <t xml:space="preserve">Ngày và thời gian dự kiến của buổi họp tiếp theo: </t>
    </r>
    <r>
      <rPr>
        <sz val="11"/>
        <color theme="1"/>
        <rFont val="Calibri"/>
        <family val="2"/>
        <scheme val="minor"/>
      </rPr>
      <t>30/11/2025 tại Zoom.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</si>
</sst>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_([$VND]\ * #,##0.00_);_([$VND]\ * \(#,##0.00\);_([$VND]\ * &quot;-&quot;??_);_(@_)"/>
  </numFmts>
  <fonts count="7" x14ac:knownFonts="1">
    <font>
      <sz val="11"/>
      <color theme="1"/>
      <name val="Calibri"/>
      <family val="2"/>
      <scheme val="minor"/>
    </font>
    <font>
      <b/>
      <sz val="13"/>
      <name val="Calibri"/>
      <family val="2"/>
    </font>
    <font>
      <b/>
      <sz val="11"/>
      <color theme="1"/>
      <name val="Calibri"/>
      <family val="2"/>
      <scheme val="minor"/>
    </font>
    <font>
      <b/>
      <sz val="11"/>
      <name val="Calibri"/>
      <family val="2"/>
    </font>
    <font>
      <sz val="11"/>
      <color rgb="FF000000"/>
      <name val="Calibri"/>
      <family val="2"/>
      <scheme val="minor"/>
    </font>
    <font>
      <b/>
      <sz val="13"/>
      <color theme="1"/>
      <name val="Calibri"/>
      <family val="2"/>
      <scheme val="minor"/>
    </font>
    <font>
      <sz val="13"/>
      <color theme="1"/>
      <name val="Calibri"/>
      <family val="2"/>
      <scheme val="minor"/>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45">
    <xf numFmtId="0" fontId="0" fillId="0" borderId="0" xfId="0"/>
    <xf numFmtId="0" fontId="0" fillId="0" borderId="0" xfId="0"/>
    <xf numFmtId="0" fontId="0" fillId="0" borderId="0" xfId="0"/>
    <xf numFmtId="0" fontId="3" fillId="0" borderId="1" xfId="0" applyFont="1" applyBorder="1" applyAlignment="1">
      <alignment horizontal="center" vertical="top"/>
    </xf>
    <xf numFmtId="0" fontId="3" fillId="0" borderId="0" xfId="0" applyFont="1" applyBorder="1" applyAlignment="1">
      <alignment horizontal="center" vertical="top"/>
    </xf>
    <xf numFmtId="0" fontId="0" fillId="0" borderId="1" xfId="0" applyBorder="1"/>
    <xf numFmtId="0" fontId="2" fillId="0" borderId="1" xfId="0" applyFont="1" applyBorder="1"/>
    <xf numFmtId="8" fontId="0" fillId="0" borderId="0" xfId="0" applyNumberFormat="1"/>
    <xf numFmtId="0" fontId="2" fillId="0" borderId="3" xfId="0" applyFont="1" applyFill="1" applyBorder="1"/>
    <xf numFmtId="0" fontId="2" fillId="0" borderId="1" xfId="0" applyFont="1" applyFill="1" applyBorder="1"/>
    <xf numFmtId="0" fontId="2" fillId="0" borderId="0" xfId="0" applyFont="1"/>
    <xf numFmtId="0" fontId="4" fillId="0" borderId="1" xfId="0" applyFont="1" applyBorder="1"/>
    <xf numFmtId="0" fontId="4" fillId="0" borderId="5" xfId="0" applyFont="1" applyBorder="1"/>
    <xf numFmtId="0" fontId="0" fillId="0" borderId="3" xfId="0" applyFill="1" applyBorder="1"/>
    <xf numFmtId="3" fontId="0" fillId="0" borderId="0" xfId="0" applyNumberFormat="1"/>
    <xf numFmtId="0" fontId="5" fillId="0" borderId="1" xfId="0" applyFont="1" applyBorder="1"/>
    <xf numFmtId="0" fontId="6" fillId="0" borderId="1" xfId="0" applyFont="1" applyBorder="1"/>
    <xf numFmtId="0" fontId="6" fillId="0" borderId="1" xfId="0" applyFont="1" applyFill="1" applyBorder="1"/>
    <xf numFmtId="0" fontId="2" fillId="2" borderId="1" xfId="0" applyFont="1" applyFill="1" applyBorder="1" applyAlignment="1">
      <alignment horizontal="center" vertical="center" wrapText="1"/>
    </xf>
    <xf numFmtId="0" fontId="0" fillId="2" borderId="1" xfId="0" applyFill="1" applyBorder="1" applyAlignment="1">
      <alignment vertical="center" wrapText="1"/>
    </xf>
    <xf numFmtId="14" fontId="0" fillId="2" borderId="1" xfId="0" applyNumberFormat="1" applyFill="1" applyBorder="1" applyAlignment="1">
      <alignment horizontal="center" vertical="top" wrapText="1"/>
    </xf>
    <xf numFmtId="0" fontId="0" fillId="2" borderId="1" xfId="0" applyFill="1" applyBorder="1" applyAlignment="1">
      <alignment horizontal="center" vertical="center" wrapText="1"/>
    </xf>
    <xf numFmtId="0" fontId="1" fillId="0" borderId="0" xfId="0" applyFont="1" applyAlignment="1">
      <alignment horizontal="center"/>
    </xf>
    <xf numFmtId="0" fontId="0" fillId="0" borderId="0" xfId="0"/>
    <xf numFmtId="164" fontId="0" fillId="0" borderId="2" xfId="0" applyNumberFormat="1" applyBorder="1" applyAlignment="1">
      <alignment horizontal="center"/>
    </xf>
    <xf numFmtId="164" fontId="0" fillId="0" borderId="4" xfId="0" applyNumberFormat="1" applyBorder="1" applyAlignment="1">
      <alignment horizontal="center"/>
    </xf>
    <xf numFmtId="164" fontId="0" fillId="0" borderId="5" xfId="0" applyNumberFormat="1" applyBorder="1" applyAlignment="1">
      <alignment horizontal="center"/>
    </xf>
    <xf numFmtId="0" fontId="0" fillId="2" borderId="0" xfId="0" applyFill="1" applyBorder="1" applyAlignment="1">
      <alignment horizontal="left" vertical="top" wrapText="1"/>
    </xf>
    <xf numFmtId="0" fontId="2" fillId="2" borderId="0" xfId="0" applyFont="1" applyFill="1" applyBorder="1" applyAlignment="1">
      <alignment horizontal="center" vertical="top" wrapText="1"/>
    </xf>
    <xf numFmtId="0" fontId="0" fillId="2" borderId="0" xfId="0" applyFill="1" applyAlignment="1">
      <alignment horizontal="left" vertical="top" wrapText="1"/>
    </xf>
    <xf numFmtId="0" fontId="0" fillId="2" borderId="0" xfId="0" applyFill="1" applyAlignment="1">
      <alignment horizontal="center"/>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2" borderId="0" xfId="0" applyFill="1" applyAlignment="1">
      <alignment horizontal="center" vertical="top"/>
    </xf>
    <xf numFmtId="0" fontId="0" fillId="2" borderId="0" xfId="0" quotePrefix="1" applyFill="1" applyBorder="1" applyAlignment="1">
      <alignment horizontal="left" vertical="top" wrapText="1"/>
    </xf>
    <xf numFmtId="0" fontId="0" fillId="2" borderId="0" xfId="0" applyFill="1" applyBorder="1" applyAlignment="1">
      <alignment horizontal="left" vertical="top"/>
    </xf>
    <xf numFmtId="0" fontId="0" fillId="2" borderId="0" xfId="0" applyFill="1" applyBorder="1" applyAlignment="1">
      <alignment horizontal="center"/>
    </xf>
    <xf numFmtId="0" fontId="0" fillId="0" borderId="0" xfId="0" applyAlignment="1">
      <alignment horizontal="center"/>
    </xf>
    <xf numFmtId="0" fontId="0" fillId="2" borderId="0" xfId="0" applyFill="1" applyBorder="1" applyAlignment="1">
      <alignment horizontal="center" vertical="top" wrapText="1"/>
    </xf>
    <xf numFmtId="0" fontId="2" fillId="2" borderId="0" xfId="0" applyFont="1" applyFill="1" applyBorder="1" applyAlignment="1">
      <alignment horizontal="center"/>
    </xf>
    <xf numFmtId="0" fontId="0" fillId="2" borderId="1" xfId="0"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baseline="0"/>
              <a:t>BIỂU ĐỒ MÔ HÌNH TRỌNG SỐ - </a:t>
            </a:r>
            <a:r>
              <a:rPr lang="en-US"/>
              <a:t>WSM</a:t>
            </a:r>
            <a:r>
              <a:rPr lang="en-US" baseline="0"/>
              <a:t> (Dự án)</a:t>
            </a:r>
            <a:endParaRPr lang="en-US"/>
          </a:p>
        </c:rich>
      </c:tx>
      <c:overlay val="0"/>
    </c:title>
    <c:autoTitleDeleted val="0"/>
    <c:plotArea>
      <c:layout/>
      <c:barChart>
        <c:barDir val="bar"/>
        <c:grouping val="clustered"/>
        <c:varyColors val="0"/>
        <c:ser>
          <c:idx val="0"/>
          <c:order val="0"/>
          <c:spPr>
            <a:ln>
              <a:prstDash val="solid"/>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WSM_Project!$A$10</c:f>
              <c:strCache>
                <c:ptCount val="1"/>
                <c:pt idx="0">
                  <c:v>Tổng điểm WSM của Dự án</c:v>
                </c:pt>
              </c:strCache>
            </c:strRef>
          </c:cat>
          <c:val>
            <c:numRef>
              <c:f>WSM_Project!$D$10</c:f>
              <c:numCache>
                <c:formatCode>General</c:formatCode>
                <c:ptCount val="1"/>
                <c:pt idx="0">
                  <c:v>82</c:v>
                </c:pt>
              </c:numCache>
            </c:numRef>
          </c:val>
          <c:extLst>
            <c:ext xmlns:c16="http://schemas.microsoft.com/office/drawing/2014/chart" uri="{C3380CC4-5D6E-409C-BE32-E72D297353CC}">
              <c16:uniqueId val="{00000000-3E6F-4023-906B-4B8038DCEDDA}"/>
            </c:ext>
          </c:extLst>
        </c:ser>
        <c:dLbls>
          <c:dLblPos val="outEnd"/>
          <c:showLegendKey val="0"/>
          <c:showVal val="1"/>
          <c:showCatName val="0"/>
          <c:showSerName val="0"/>
          <c:showPercent val="0"/>
          <c:showBubbleSize val="0"/>
        </c:dLbls>
        <c:gapWidth val="150"/>
        <c:axId val="10"/>
        <c:axId val="100"/>
      </c:barChart>
      <c:catAx>
        <c:axId val="10"/>
        <c:scaling>
          <c:orientation val="minMax"/>
        </c:scaling>
        <c:delete val="0"/>
        <c:axPos val="l"/>
        <c:majorGridlines/>
        <c:numFmt formatCode="General" sourceLinked="1"/>
        <c:majorTickMark val="out"/>
        <c:minorTickMark val="none"/>
        <c:tickLblPos val="nextTo"/>
        <c:crossAx val="100"/>
        <c:crosses val="autoZero"/>
        <c:auto val="0"/>
        <c:lblAlgn val="ctr"/>
        <c:lblOffset val="100"/>
        <c:noMultiLvlLbl val="0"/>
      </c:catAx>
      <c:valAx>
        <c:axId val="100"/>
        <c:scaling>
          <c:orientation val="minMax"/>
          <c:max val="100"/>
        </c:scaling>
        <c:delete val="0"/>
        <c:axPos val="b"/>
        <c:majorGridlines/>
        <c:numFmt formatCode="General" sourceLinked="1"/>
        <c:majorTickMark val="out"/>
        <c:minorTickMark val="none"/>
        <c:tickLblPos val="nextTo"/>
        <c:crossAx val="10"/>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Biểu đồ WSM - Chức năng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WSM_Function!$C$2:$H$2</c15:sqref>
                  </c15:fullRef>
                </c:ext>
              </c:extLst>
              <c:f>(WSM_Function!$C$2,WSM_Function!$E$2,WSM_Function!$G$2:$H$2)</c:f>
              <c:strCache>
                <c:ptCount val="4"/>
                <c:pt idx="0">
                  <c:v>F1 – Thu thập và xử lý dữ liệu</c:v>
                </c:pt>
                <c:pt idx="1">
                  <c:v>F2 – Huấn luyện mô hình và đánh giá</c:v>
                </c:pt>
                <c:pt idx="2">
                  <c:v>F3 – Dự báo và hiển thị ứng dụng</c:v>
                </c:pt>
                <c:pt idx="3">
                  <c:v>Điểm F3</c:v>
                </c:pt>
              </c:strCache>
            </c:strRef>
          </c:cat>
          <c:val>
            <c:numRef>
              <c:extLst>
                <c:ext xmlns:c15="http://schemas.microsoft.com/office/drawing/2012/chart" uri="{02D57815-91ED-43cb-92C2-25804820EDAC}">
                  <c15:fullRef>
                    <c15:sqref>WSM_Function!$D$10:$H$10</c15:sqref>
                  </c15:fullRef>
                </c:ext>
              </c:extLst>
              <c:f>(WSM_Function!$D$10,WSM_Function!$F$10,WSM_Function!$H$10)</c:f>
              <c:numCache>
                <c:formatCode>General</c:formatCode>
                <c:ptCount val="3"/>
                <c:pt idx="0">
                  <c:v>86.5</c:v>
                </c:pt>
                <c:pt idx="1">
                  <c:v>86</c:v>
                </c:pt>
                <c:pt idx="2">
                  <c:v>88</c:v>
                </c:pt>
              </c:numCache>
            </c:numRef>
          </c:val>
          <c:extLst>
            <c:ext xmlns:c16="http://schemas.microsoft.com/office/drawing/2014/chart" uri="{C3380CC4-5D6E-409C-BE32-E72D297353CC}">
              <c16:uniqueId val="{00000000-E51E-496E-90C9-A86DD5BB66D5}"/>
            </c:ext>
          </c:extLst>
        </c:ser>
        <c:dLbls>
          <c:dLblPos val="outEnd"/>
          <c:showLegendKey val="0"/>
          <c:showVal val="1"/>
          <c:showCatName val="0"/>
          <c:showSerName val="0"/>
          <c:showPercent val="0"/>
          <c:showBubbleSize val="0"/>
        </c:dLbls>
        <c:gapWidth val="182"/>
        <c:axId val="10"/>
        <c:axId val="100"/>
      </c:barChart>
      <c:catAx>
        <c:axId val="1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0"/>
        <c:lblAlgn val="ctr"/>
        <c:lblOffset val="100"/>
        <c:noMultiLvlLbl val="0"/>
      </c:catAx>
      <c:valAx>
        <c:axId val="100"/>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Payback - Cumulative Costs vs Benefits</a:t>
            </a:r>
          </a:p>
        </c:rich>
      </c:tx>
      <c:overlay val="0"/>
    </c:title>
    <c:autoTitleDeleted val="0"/>
    <c:plotArea>
      <c:layout>
        <c:manualLayout>
          <c:layoutTarget val="inner"/>
          <c:xMode val="edge"/>
          <c:yMode val="edge"/>
          <c:x val="0.1446346276217777"/>
          <c:y val="6.9112310640558172E-2"/>
          <c:w val="0.66184806063479529"/>
          <c:h val="0.83647732658527019"/>
        </c:manualLayout>
      </c:layout>
      <c:lineChart>
        <c:grouping val="standard"/>
        <c:varyColors val="0"/>
        <c:ser>
          <c:idx val="0"/>
          <c:order val="0"/>
          <c:tx>
            <c:v>Tổng chi phí lũy kế</c:v>
          </c:tx>
          <c:spPr>
            <a:ln>
              <a:prstDash val="solid"/>
            </a:ln>
          </c:spPr>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Paypack!$A$2:$A$6</c:f>
              <c:numCache>
                <c:formatCode>General</c:formatCode>
                <c:ptCount val="5"/>
                <c:pt idx="0">
                  <c:v>0</c:v>
                </c:pt>
                <c:pt idx="1">
                  <c:v>1</c:v>
                </c:pt>
                <c:pt idx="2">
                  <c:v>2</c:v>
                </c:pt>
                <c:pt idx="3">
                  <c:v>3</c:v>
                </c:pt>
                <c:pt idx="4">
                  <c:v>4</c:v>
                </c:pt>
              </c:numCache>
            </c:numRef>
          </c:cat>
          <c:val>
            <c:numRef>
              <c:f>Paypack!$D$2:$D$6</c:f>
              <c:numCache>
                <c:formatCode>General</c:formatCode>
                <c:ptCount val="5"/>
                <c:pt idx="0">
                  <c:v>50000</c:v>
                </c:pt>
                <c:pt idx="1">
                  <c:v>95500</c:v>
                </c:pt>
                <c:pt idx="2">
                  <c:v>137000</c:v>
                </c:pt>
                <c:pt idx="3">
                  <c:v>174500</c:v>
                </c:pt>
                <c:pt idx="4">
                  <c:v>208500</c:v>
                </c:pt>
              </c:numCache>
            </c:numRef>
          </c:val>
          <c:smooth val="0"/>
          <c:extLst>
            <c:ext xmlns:c16="http://schemas.microsoft.com/office/drawing/2014/chart" uri="{C3380CC4-5D6E-409C-BE32-E72D297353CC}">
              <c16:uniqueId val="{00000000-FED5-4447-8293-9E2262A06DDC}"/>
            </c:ext>
          </c:extLst>
        </c:ser>
        <c:ser>
          <c:idx val="1"/>
          <c:order val="1"/>
          <c:tx>
            <c:v>Tổng chi phí lũy kế</c:v>
          </c:tx>
          <c:spPr>
            <a:ln>
              <a:prstDash val="solid"/>
            </a:ln>
          </c:spPr>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Paypack!$A$2:$A$6</c:f>
              <c:numCache>
                <c:formatCode>General</c:formatCode>
                <c:ptCount val="5"/>
                <c:pt idx="0">
                  <c:v>0</c:v>
                </c:pt>
                <c:pt idx="1">
                  <c:v>1</c:v>
                </c:pt>
                <c:pt idx="2">
                  <c:v>2</c:v>
                </c:pt>
                <c:pt idx="3">
                  <c:v>3</c:v>
                </c:pt>
                <c:pt idx="4">
                  <c:v>4</c:v>
                </c:pt>
              </c:numCache>
            </c:numRef>
          </c:cat>
          <c:val>
            <c:numRef>
              <c:f>Paypack!$E$2:$E$6</c:f>
              <c:numCache>
                <c:formatCode>General</c:formatCode>
                <c:ptCount val="5"/>
                <c:pt idx="0">
                  <c:v>0</c:v>
                </c:pt>
                <c:pt idx="1">
                  <c:v>182000</c:v>
                </c:pt>
                <c:pt idx="2">
                  <c:v>348000</c:v>
                </c:pt>
                <c:pt idx="3">
                  <c:v>498000</c:v>
                </c:pt>
                <c:pt idx="4">
                  <c:v>634000</c:v>
                </c:pt>
              </c:numCache>
            </c:numRef>
          </c:val>
          <c:smooth val="0"/>
          <c:extLst>
            <c:ext xmlns:c16="http://schemas.microsoft.com/office/drawing/2014/chart" uri="{C3380CC4-5D6E-409C-BE32-E72D297353CC}">
              <c16:uniqueId val="{00000001-FED5-4447-8293-9E2262A06DDC}"/>
            </c:ext>
          </c:extLst>
        </c:ser>
        <c:dLbls>
          <c:dLblPos val="t"/>
          <c:showLegendKey val="0"/>
          <c:showVal val="1"/>
          <c:showCatName val="0"/>
          <c:showSerName val="0"/>
          <c:showPercent val="0"/>
          <c:showBubbleSize val="0"/>
        </c:dLbls>
        <c:smooth val="0"/>
        <c:axId val="10"/>
        <c:axId val="100"/>
      </c:lineChart>
      <c:dateAx>
        <c:axId val="10"/>
        <c:scaling>
          <c:orientation val="minMax"/>
        </c:scaling>
        <c:delete val="0"/>
        <c:axPos val="b"/>
        <c:title>
          <c:tx>
            <c:rich>
              <a:bodyPr/>
              <a:lstStyle/>
              <a:p>
                <a:pPr>
                  <a:defRPr/>
                </a:pPr>
                <a:r>
                  <a:rPr lang="en-US"/>
                  <a:t>Năm</a:t>
                </a:r>
              </a:p>
            </c:rich>
          </c:tx>
          <c:overlay val="0"/>
        </c:title>
        <c:numFmt formatCode="General" sourceLinked="1"/>
        <c:majorTickMark val="in"/>
        <c:minorTickMark val="in"/>
        <c:tickLblPos val="nextTo"/>
        <c:spPr>
          <a:ln/>
        </c:spPr>
        <c:crossAx val="100"/>
        <c:crossesAt val="0"/>
        <c:auto val="0"/>
        <c:lblOffset val="100"/>
        <c:baseTimeUnit val="days"/>
      </c:dateAx>
      <c:valAx>
        <c:axId val="100"/>
        <c:scaling>
          <c:orientation val="minMax"/>
        </c:scaling>
        <c:delete val="0"/>
        <c:axPos val="l"/>
        <c:majorGridlines/>
        <c:title>
          <c:tx>
            <c:rich>
              <a:bodyPr/>
              <a:lstStyle/>
              <a:p>
                <a:pPr>
                  <a:defRPr/>
                </a:pPr>
                <a:r>
                  <a:rPr lang="en-US"/>
                  <a:t>VND</a:t>
                </a:r>
              </a:p>
            </c:rich>
          </c:tx>
          <c:layout>
            <c:manualLayout>
              <c:xMode val="edge"/>
              <c:yMode val="edge"/>
              <c:x val="2.2661419439221082E-2"/>
              <c:y val="0.46259912112091078"/>
            </c:manualLayout>
          </c:layout>
          <c:overlay val="0"/>
        </c:title>
        <c:numFmt formatCode="General" sourceLinked="1"/>
        <c:majorTickMark val="out"/>
        <c:minorTickMark val="none"/>
        <c:tickLblPos val="nextTo"/>
        <c:crossAx val="10"/>
        <c:crosses val="autoZero"/>
        <c:crossBetween val="midCat"/>
        <c:majorUnit val="50000"/>
      </c:valAx>
    </c:plotArea>
    <c:legend>
      <c:legendPos val="r"/>
      <c:overlay val="0"/>
    </c:legend>
    <c:plotVisOnly val="1"/>
    <c:dispBlanksAs val="gap"/>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0</xdr:col>
      <xdr:colOff>403860</xdr:colOff>
      <xdr:row>12</xdr:row>
      <xdr:rowOff>30480</xdr:rowOff>
    </xdr:from>
    <xdr:ext cx="6036854" cy="270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830580</xdr:colOff>
      <xdr:row>11</xdr:row>
      <xdr:rowOff>106680</xdr:rowOff>
    </xdr:from>
    <xdr:ext cx="5400000" cy="27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5</xdr:col>
      <xdr:colOff>44824</xdr:colOff>
      <xdr:row>0</xdr:row>
      <xdr:rowOff>0</xdr:rowOff>
    </xdr:from>
    <xdr:ext cx="8404412" cy="6417887"/>
    <xdr:graphicFrame macro="">
      <xdr:nvGraphicFramePr>
        <xdr:cNvPr id="3" name="Chart 2">
          <a:extLst>
            <a:ext uri="{FF2B5EF4-FFF2-40B4-BE49-F238E27FC236}">
              <a16:creationId xmlns:a16="http://schemas.microsoft.com/office/drawing/2014/main" id="{0E221DED-E8D2-457F-BDAD-5AC200A66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zoomScale="70" zoomScaleNormal="70" workbookViewId="0">
      <selection activeCell="C35" sqref="C35"/>
    </sheetView>
  </sheetViews>
  <sheetFormatPr defaultRowHeight="14.5" x14ac:dyDescent="0.35"/>
  <cols>
    <col min="1" max="1" width="58.6328125" customWidth="1"/>
    <col min="2" max="2" width="24.90625" customWidth="1"/>
    <col min="3" max="3" width="24" customWidth="1"/>
    <col min="4" max="4" width="25.54296875" customWidth="1"/>
  </cols>
  <sheetData>
    <row r="1" spans="1:4" ht="17" x14ac:dyDescent="0.4">
      <c r="A1" s="22" t="s">
        <v>0</v>
      </c>
      <c r="B1" s="23"/>
      <c r="C1" s="23"/>
      <c r="D1" s="23"/>
    </row>
    <row r="2" spans="1:4" x14ac:dyDescent="0.35">
      <c r="A2" s="6" t="s">
        <v>1</v>
      </c>
      <c r="B2" s="6" t="s">
        <v>2</v>
      </c>
      <c r="C2" s="6" t="s">
        <v>3</v>
      </c>
      <c r="D2" s="6" t="s">
        <v>4</v>
      </c>
    </row>
    <row r="3" spans="1:4" x14ac:dyDescent="0.35">
      <c r="A3" s="5" t="s">
        <v>17</v>
      </c>
      <c r="B3" s="5">
        <v>25</v>
      </c>
      <c r="C3" s="5">
        <v>90</v>
      </c>
      <c r="D3" s="5">
        <f>B3%*C3</f>
        <v>22.5</v>
      </c>
    </row>
    <row r="4" spans="1:4" x14ac:dyDescent="0.35">
      <c r="A4" s="5" t="s">
        <v>18</v>
      </c>
      <c r="B4" s="5">
        <v>15</v>
      </c>
      <c r="C4" s="5">
        <v>70</v>
      </c>
      <c r="D4" s="5">
        <f t="shared" ref="D4:D9" si="0">B4%*C4</f>
        <v>10.5</v>
      </c>
    </row>
    <row r="5" spans="1:4" x14ac:dyDescent="0.35">
      <c r="A5" s="5" t="s">
        <v>19</v>
      </c>
      <c r="B5" s="5">
        <v>15</v>
      </c>
      <c r="C5" s="5">
        <v>90</v>
      </c>
      <c r="D5" s="5">
        <f t="shared" si="0"/>
        <v>13.5</v>
      </c>
    </row>
    <row r="6" spans="1:4" x14ac:dyDescent="0.35">
      <c r="A6" s="5" t="s">
        <v>20</v>
      </c>
      <c r="B6" s="5">
        <v>10</v>
      </c>
      <c r="C6" s="5">
        <v>80</v>
      </c>
      <c r="D6" s="5">
        <f t="shared" si="0"/>
        <v>8</v>
      </c>
    </row>
    <row r="7" spans="1:4" x14ac:dyDescent="0.35">
      <c r="A7" s="5" t="s">
        <v>16</v>
      </c>
      <c r="B7" s="5">
        <v>5</v>
      </c>
      <c r="C7" s="5">
        <v>90</v>
      </c>
      <c r="D7" s="5">
        <f t="shared" si="0"/>
        <v>4.5</v>
      </c>
    </row>
    <row r="8" spans="1:4" x14ac:dyDescent="0.35">
      <c r="A8" s="5" t="s">
        <v>21</v>
      </c>
      <c r="B8" s="5">
        <v>20</v>
      </c>
      <c r="C8" s="5">
        <v>80</v>
      </c>
      <c r="D8" s="5">
        <f t="shared" si="0"/>
        <v>16</v>
      </c>
    </row>
    <row r="9" spans="1:4" x14ac:dyDescent="0.35">
      <c r="A9" s="5" t="s">
        <v>22</v>
      </c>
      <c r="B9" s="5">
        <v>10</v>
      </c>
      <c r="C9" s="5">
        <v>70</v>
      </c>
      <c r="D9" s="5">
        <f t="shared" si="0"/>
        <v>7</v>
      </c>
    </row>
    <row r="10" spans="1:4" x14ac:dyDescent="0.35">
      <c r="A10" s="5" t="s">
        <v>30</v>
      </c>
      <c r="B10" s="5">
        <v>100</v>
      </c>
      <c r="C10" s="5"/>
      <c r="D10" s="5">
        <f>SUM(D3:D9)</f>
        <v>82</v>
      </c>
    </row>
  </sheetData>
  <sheetProtection sheet="1" objects="1" scenarios="1"/>
  <mergeCells count="1">
    <mergeCell ref="A1:D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
  <sheetViews>
    <sheetView workbookViewId="0">
      <selection activeCell="E18" sqref="E18"/>
    </sheetView>
  </sheetViews>
  <sheetFormatPr defaultRowHeight="14.5" x14ac:dyDescent="0.35"/>
  <cols>
    <col min="1" max="1" width="58.08984375" customWidth="1"/>
    <col min="2" max="2" width="16" customWidth="1"/>
    <col min="3" max="3" width="25.6328125" bestFit="1" customWidth="1"/>
    <col min="4" max="4" width="14.36328125" customWidth="1"/>
    <col min="5" max="5" width="31.90625" bestFit="1" customWidth="1"/>
    <col min="6" max="6" width="7.54296875" bestFit="1" customWidth="1"/>
    <col min="7" max="7" width="20.08984375" bestFit="1" customWidth="1"/>
    <col min="9" max="9" width="15.6328125" bestFit="1" customWidth="1"/>
  </cols>
  <sheetData>
    <row r="1" spans="1:14" ht="17" x14ac:dyDescent="0.4">
      <c r="A1" s="22" t="s">
        <v>6</v>
      </c>
      <c r="B1" s="23"/>
      <c r="C1" s="23"/>
      <c r="D1" s="23"/>
    </row>
    <row r="2" spans="1:14" x14ac:dyDescent="0.35">
      <c r="A2" s="6" t="s">
        <v>1</v>
      </c>
      <c r="B2" s="6" t="s">
        <v>2</v>
      </c>
      <c r="C2" s="3" t="s">
        <v>34</v>
      </c>
      <c r="D2" s="3" t="s">
        <v>31</v>
      </c>
      <c r="E2" s="3" t="s">
        <v>35</v>
      </c>
      <c r="F2" s="3" t="s">
        <v>32</v>
      </c>
      <c r="G2" s="3" t="s">
        <v>36</v>
      </c>
      <c r="H2" s="3" t="s">
        <v>33</v>
      </c>
      <c r="I2" s="4"/>
      <c r="J2" s="4"/>
      <c r="K2" s="4"/>
      <c r="L2" s="4"/>
      <c r="M2" s="4"/>
      <c r="N2" s="4"/>
    </row>
    <row r="3" spans="1:14" x14ac:dyDescent="0.35">
      <c r="A3" s="5" t="s">
        <v>23</v>
      </c>
      <c r="B3" s="5">
        <v>25</v>
      </c>
      <c r="C3" s="5">
        <v>90</v>
      </c>
      <c r="D3" s="5">
        <f xml:space="preserve"> B3% * C3</f>
        <v>22.5</v>
      </c>
      <c r="E3" s="5">
        <v>80</v>
      </c>
      <c r="F3" s="5">
        <f xml:space="preserve"> B3% *E3</f>
        <v>20</v>
      </c>
      <c r="G3" s="5">
        <v>80</v>
      </c>
      <c r="H3" s="5">
        <f>B3% * G3</f>
        <v>20</v>
      </c>
      <c r="I3" s="1"/>
      <c r="K3" s="1"/>
      <c r="M3" s="1"/>
    </row>
    <row r="4" spans="1:14" x14ac:dyDescent="0.35">
      <c r="A4" s="5" t="s">
        <v>24</v>
      </c>
      <c r="B4" s="5">
        <v>20</v>
      </c>
      <c r="C4" s="5">
        <v>80</v>
      </c>
      <c r="D4" s="5">
        <f t="shared" ref="D4:D9" si="0" xml:space="preserve"> B4% * C4</f>
        <v>16</v>
      </c>
      <c r="E4" s="5">
        <v>80</v>
      </c>
      <c r="F4" s="5">
        <f t="shared" ref="F4:F9" si="1" xml:space="preserve"> B4% *E4</f>
        <v>16</v>
      </c>
      <c r="G4" s="5">
        <v>90</v>
      </c>
      <c r="H4" s="5">
        <f t="shared" ref="H4:H9" si="2">B4% * G4</f>
        <v>18</v>
      </c>
      <c r="I4" s="1"/>
      <c r="J4" s="1"/>
      <c r="K4" s="1"/>
      <c r="L4" s="1"/>
      <c r="M4" s="1"/>
      <c r="N4" s="1"/>
    </row>
    <row r="5" spans="1:14" x14ac:dyDescent="0.35">
      <c r="A5" s="5" t="s">
        <v>25</v>
      </c>
      <c r="B5" s="5">
        <v>15</v>
      </c>
      <c r="C5" s="5">
        <v>80</v>
      </c>
      <c r="D5" s="5">
        <f t="shared" si="0"/>
        <v>12</v>
      </c>
      <c r="E5" s="5">
        <v>100</v>
      </c>
      <c r="F5" s="5">
        <f t="shared" si="1"/>
        <v>15</v>
      </c>
      <c r="G5" s="5">
        <v>100</v>
      </c>
      <c r="H5" s="5">
        <f t="shared" si="2"/>
        <v>15</v>
      </c>
      <c r="I5" s="1"/>
      <c r="J5" s="1"/>
      <c r="K5" s="1"/>
      <c r="L5" s="1"/>
      <c r="M5" s="1"/>
      <c r="N5" s="1"/>
    </row>
    <row r="6" spans="1:14" x14ac:dyDescent="0.35">
      <c r="A6" s="5" t="s">
        <v>26</v>
      </c>
      <c r="B6" s="5">
        <v>10</v>
      </c>
      <c r="C6" s="5">
        <v>90</v>
      </c>
      <c r="D6" s="5">
        <f t="shared" si="0"/>
        <v>9</v>
      </c>
      <c r="E6" s="5">
        <v>90</v>
      </c>
      <c r="F6" s="5">
        <f t="shared" si="1"/>
        <v>9</v>
      </c>
      <c r="G6" s="5">
        <v>90</v>
      </c>
      <c r="H6" s="5">
        <f t="shared" si="2"/>
        <v>9</v>
      </c>
      <c r="I6" s="1"/>
      <c r="J6" s="1"/>
      <c r="K6" s="1"/>
      <c r="L6" s="1"/>
      <c r="M6" s="1"/>
      <c r="N6" s="1"/>
    </row>
    <row r="7" spans="1:14" x14ac:dyDescent="0.35">
      <c r="A7" s="5" t="s">
        <v>27</v>
      </c>
      <c r="B7" s="5">
        <v>10</v>
      </c>
      <c r="C7" s="5">
        <v>100</v>
      </c>
      <c r="D7" s="5">
        <f t="shared" si="0"/>
        <v>10</v>
      </c>
      <c r="E7" s="5">
        <v>100</v>
      </c>
      <c r="F7" s="5">
        <f t="shared" si="1"/>
        <v>10</v>
      </c>
      <c r="G7" s="5">
        <v>100</v>
      </c>
      <c r="H7" s="5">
        <f t="shared" si="2"/>
        <v>10</v>
      </c>
      <c r="I7" s="1"/>
      <c r="J7" s="1"/>
      <c r="K7" s="1"/>
      <c r="L7" s="1"/>
      <c r="M7" s="1"/>
      <c r="N7" s="1"/>
    </row>
    <row r="8" spans="1:14" x14ac:dyDescent="0.35">
      <c r="A8" s="5" t="s">
        <v>28</v>
      </c>
      <c r="B8" s="5">
        <v>10</v>
      </c>
      <c r="C8" s="5">
        <v>80</v>
      </c>
      <c r="D8" s="5">
        <f t="shared" si="0"/>
        <v>8</v>
      </c>
      <c r="E8" s="5">
        <v>80</v>
      </c>
      <c r="F8" s="5">
        <f t="shared" si="1"/>
        <v>8</v>
      </c>
      <c r="G8" s="5">
        <v>70</v>
      </c>
      <c r="H8" s="5">
        <f t="shared" si="2"/>
        <v>7</v>
      </c>
      <c r="I8" s="1"/>
      <c r="J8" s="1"/>
      <c r="K8" s="1"/>
      <c r="L8" s="1"/>
      <c r="M8" s="1"/>
      <c r="N8" s="1"/>
    </row>
    <row r="9" spans="1:14" x14ac:dyDescent="0.35">
      <c r="A9" s="5" t="s">
        <v>29</v>
      </c>
      <c r="B9" s="5">
        <v>10</v>
      </c>
      <c r="C9" s="5">
        <v>90</v>
      </c>
      <c r="D9" s="5">
        <f t="shared" si="0"/>
        <v>9</v>
      </c>
      <c r="E9" s="5">
        <v>80</v>
      </c>
      <c r="F9" s="5">
        <f t="shared" si="1"/>
        <v>8</v>
      </c>
      <c r="G9" s="5">
        <v>90</v>
      </c>
      <c r="H9" s="5">
        <f t="shared" si="2"/>
        <v>9</v>
      </c>
      <c r="I9" s="1"/>
      <c r="J9" s="1"/>
      <c r="K9" s="1"/>
      <c r="L9" s="1"/>
      <c r="M9" s="1"/>
      <c r="N9" s="1"/>
    </row>
    <row r="10" spans="1:14" x14ac:dyDescent="0.35">
      <c r="A10" s="5" t="s">
        <v>5</v>
      </c>
      <c r="B10" s="5">
        <f xml:space="preserve"> SUM(B3:B9)</f>
        <v>100</v>
      </c>
      <c r="C10" s="5"/>
      <c r="D10" s="5">
        <f xml:space="preserve"> SUM(D3:D9)</f>
        <v>86.5</v>
      </c>
      <c r="E10" s="5"/>
      <c r="F10" s="5">
        <f t="shared" ref="F10:H10" si="3" xml:space="preserve"> SUM(F3:F9)</f>
        <v>86</v>
      </c>
      <c r="G10" s="5"/>
      <c r="H10" s="5">
        <f t="shared" si="3"/>
        <v>88</v>
      </c>
      <c r="I10" s="1"/>
      <c r="J10" s="1"/>
      <c r="K10" s="1"/>
      <c r="L10" s="1"/>
      <c r="M10" s="1"/>
      <c r="N10" s="1"/>
    </row>
  </sheetData>
  <sheetProtection sheet="1" objects="1" scenarios="1"/>
  <mergeCells count="1">
    <mergeCell ref="A1:D1"/>
  </mergeCells>
  <pageMargins left="0.75" right="0.75" top="1" bottom="1" header="0.5" footer="0.5"/>
  <pageSetup paperSize="0" orientation="portrait" horizontalDpi="0" verticalDpi="0" copie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
  <sheetViews>
    <sheetView tabSelected="1" workbookViewId="0">
      <selection activeCell="F11" sqref="F11"/>
    </sheetView>
  </sheetViews>
  <sheetFormatPr defaultRowHeight="14.5" x14ac:dyDescent="0.35"/>
  <cols>
    <col min="1" max="1" width="25.90625" bestFit="1" customWidth="1"/>
    <col min="2" max="2" width="16.7265625" bestFit="1" customWidth="1"/>
    <col min="3" max="4" width="8.81640625" bestFit="1" customWidth="1"/>
  </cols>
  <sheetData>
    <row r="1" spans="1:7" s="1" customFormat="1" x14ac:dyDescent="0.35">
      <c r="A1" s="6" t="s">
        <v>13</v>
      </c>
      <c r="B1" s="6">
        <v>0.1</v>
      </c>
    </row>
    <row r="3" spans="1:7" x14ac:dyDescent="0.35">
      <c r="A3" s="5"/>
      <c r="B3" s="6" t="s">
        <v>51</v>
      </c>
      <c r="C3" s="6" t="s">
        <v>37</v>
      </c>
      <c r="D3" s="6" t="s">
        <v>38</v>
      </c>
      <c r="E3" s="6" t="s">
        <v>39</v>
      </c>
      <c r="F3" s="6" t="s">
        <v>40</v>
      </c>
      <c r="G3" s="6" t="s">
        <v>12</v>
      </c>
    </row>
    <row r="4" spans="1:7" x14ac:dyDescent="0.35">
      <c r="A4" s="6" t="s">
        <v>42</v>
      </c>
      <c r="B4" s="5">
        <v>0</v>
      </c>
      <c r="C4" s="5">
        <v>100000</v>
      </c>
      <c r="D4" s="5">
        <v>200000</v>
      </c>
      <c r="E4" s="5">
        <v>300000</v>
      </c>
      <c r="F4" s="5">
        <v>400000</v>
      </c>
      <c r="G4" s="5">
        <f xml:space="preserve"> SUM(B4:F4)</f>
        <v>1000000</v>
      </c>
    </row>
    <row r="5" spans="1:7" x14ac:dyDescent="0.35">
      <c r="A5" s="6" t="s">
        <v>43</v>
      </c>
      <c r="B5" s="5">
        <v>50000</v>
      </c>
      <c r="C5" s="5">
        <v>50000</v>
      </c>
      <c r="D5" s="5">
        <v>50000</v>
      </c>
      <c r="E5" s="5">
        <v>50000</v>
      </c>
      <c r="F5" s="5">
        <v>50000</v>
      </c>
      <c r="G5" s="5">
        <f xml:space="preserve"> SUM(B5:F5)</f>
        <v>250000</v>
      </c>
    </row>
    <row r="6" spans="1:7" x14ac:dyDescent="0.35">
      <c r="A6" s="6" t="s">
        <v>44</v>
      </c>
      <c r="B6" s="5">
        <f>- B5</f>
        <v>-50000</v>
      </c>
      <c r="C6" s="5">
        <f xml:space="preserve"> C5</f>
        <v>50000</v>
      </c>
      <c r="D6" s="5">
        <f t="shared" ref="D6:F6" si="0">C6 + D5</f>
        <v>100000</v>
      </c>
      <c r="E6" s="5">
        <f t="shared" si="0"/>
        <v>150000</v>
      </c>
      <c r="F6" s="5">
        <f t="shared" si="0"/>
        <v>200000</v>
      </c>
      <c r="G6" s="5">
        <f t="shared" ref="G6" si="1" xml:space="preserve"> SUM(B6:F6)</f>
        <v>450000</v>
      </c>
    </row>
    <row r="7" spans="1:7" x14ac:dyDescent="0.35">
      <c r="A7" s="9" t="s">
        <v>41</v>
      </c>
      <c r="B7" s="24">
        <f>NPV(B1,B6:F6)</f>
        <v>297635.53160179057</v>
      </c>
      <c r="C7" s="25"/>
      <c r="D7" s="25"/>
      <c r="E7" s="25"/>
      <c r="F7" s="25"/>
      <c r="G7" s="26"/>
    </row>
  </sheetData>
  <sheetProtection sheet="1" objects="1" scenarios="1"/>
  <mergeCells count="1">
    <mergeCell ref="B7:G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8059F-3BE9-41AA-AA33-8B712EABD569}">
  <dimension ref="A1:G18"/>
  <sheetViews>
    <sheetView zoomScale="96" zoomScaleNormal="100" workbookViewId="0">
      <selection activeCell="B4" sqref="B4"/>
    </sheetView>
  </sheetViews>
  <sheetFormatPr defaultRowHeight="14.5" x14ac:dyDescent="0.35"/>
  <cols>
    <col min="1" max="1" width="38" bestFit="1" customWidth="1"/>
    <col min="2" max="2" width="8.81640625" bestFit="1" customWidth="1"/>
    <col min="5" max="5" width="9.1796875" bestFit="1" customWidth="1"/>
    <col min="6" max="6" width="11.453125" bestFit="1" customWidth="1"/>
    <col min="7" max="7" width="14" bestFit="1" customWidth="1"/>
  </cols>
  <sheetData>
    <row r="1" spans="1:7" s="1" customFormat="1" x14ac:dyDescent="0.35">
      <c r="A1" s="10" t="s">
        <v>13</v>
      </c>
      <c r="B1" s="10">
        <v>0.1</v>
      </c>
    </row>
    <row r="2" spans="1:7" x14ac:dyDescent="0.35">
      <c r="A2" s="10"/>
    </row>
    <row r="3" spans="1:7" x14ac:dyDescent="0.35">
      <c r="A3" s="6" t="s">
        <v>7</v>
      </c>
      <c r="B3" s="6" t="s">
        <v>51</v>
      </c>
      <c r="C3" s="6" t="s">
        <v>37</v>
      </c>
      <c r="D3" s="6" t="s">
        <v>38</v>
      </c>
      <c r="E3" s="6" t="s">
        <v>39</v>
      </c>
      <c r="F3" s="6" t="s">
        <v>40</v>
      </c>
      <c r="G3" s="8" t="s">
        <v>50</v>
      </c>
    </row>
    <row r="4" spans="1:7" x14ac:dyDescent="0.35">
      <c r="A4" s="6" t="s">
        <v>46</v>
      </c>
      <c r="B4" s="5">
        <v>50000</v>
      </c>
      <c r="C4" s="5">
        <v>50000</v>
      </c>
      <c r="D4" s="5">
        <v>50000</v>
      </c>
      <c r="E4" s="5">
        <v>50000</v>
      </c>
      <c r="F4" s="5">
        <v>50000</v>
      </c>
    </row>
    <row r="5" spans="1:7" x14ac:dyDescent="0.35">
      <c r="A5" s="6" t="s">
        <v>8</v>
      </c>
      <c r="B5" s="11">
        <v>1</v>
      </c>
      <c r="C5" s="12">
        <v>0.91</v>
      </c>
      <c r="D5" s="12">
        <v>0.83</v>
      </c>
      <c r="E5" s="12">
        <v>0.75</v>
      </c>
      <c r="F5" s="12">
        <v>0.68</v>
      </c>
    </row>
    <row r="6" spans="1:7" x14ac:dyDescent="0.35">
      <c r="A6" s="6" t="s">
        <v>47</v>
      </c>
      <c r="B6" s="5">
        <f>B4*B5</f>
        <v>50000</v>
      </c>
      <c r="C6" s="5">
        <f t="shared" ref="C6:F6" si="0">C4*C5</f>
        <v>45500</v>
      </c>
      <c r="D6" s="5">
        <f t="shared" si="0"/>
        <v>41500</v>
      </c>
      <c r="E6" s="5">
        <f t="shared" si="0"/>
        <v>37500</v>
      </c>
      <c r="F6" s="5">
        <f t="shared" si="0"/>
        <v>34000</v>
      </c>
      <c r="G6" s="13">
        <f>SUM(B6:F6)</f>
        <v>208500</v>
      </c>
    </row>
    <row r="7" spans="1:7" x14ac:dyDescent="0.35">
      <c r="A7" s="10"/>
      <c r="G7" s="13"/>
    </row>
    <row r="8" spans="1:7" x14ac:dyDescent="0.35">
      <c r="A8" s="6" t="s">
        <v>42</v>
      </c>
      <c r="B8" s="5">
        <v>0</v>
      </c>
      <c r="C8" s="5">
        <v>200000</v>
      </c>
      <c r="D8" s="5">
        <v>200000</v>
      </c>
      <c r="E8" s="5">
        <v>200000</v>
      </c>
      <c r="F8" s="5">
        <v>200000</v>
      </c>
      <c r="G8" s="13"/>
    </row>
    <row r="9" spans="1:7" x14ac:dyDescent="0.35">
      <c r="A9" s="6" t="s">
        <v>8</v>
      </c>
      <c r="B9" s="11">
        <v>1</v>
      </c>
      <c r="C9" s="12">
        <v>0.91</v>
      </c>
      <c r="D9" s="12">
        <v>0.83</v>
      </c>
      <c r="E9" s="12">
        <v>0.75</v>
      </c>
      <c r="F9" s="12">
        <v>0.68</v>
      </c>
      <c r="G9" s="13"/>
    </row>
    <row r="10" spans="1:7" x14ac:dyDescent="0.35">
      <c r="A10" s="6" t="s">
        <v>9</v>
      </c>
      <c r="B10" s="5">
        <f>B8*B9</f>
        <v>0</v>
      </c>
      <c r="C10" s="5">
        <f t="shared" ref="C10:F10" si="1">C8*C9</f>
        <v>182000</v>
      </c>
      <c r="D10" s="5">
        <f t="shared" si="1"/>
        <v>166000</v>
      </c>
      <c r="E10" s="5">
        <f t="shared" si="1"/>
        <v>150000</v>
      </c>
      <c r="F10" s="5">
        <f t="shared" si="1"/>
        <v>136000</v>
      </c>
      <c r="G10" s="13">
        <f t="shared" ref="G10" si="2">SUM(B10:F10)</f>
        <v>634000</v>
      </c>
    </row>
    <row r="11" spans="1:7" s="1" customFormat="1" x14ac:dyDescent="0.35">
      <c r="A11" s="10"/>
      <c r="G11" s="13"/>
    </row>
    <row r="12" spans="1:7" x14ac:dyDescent="0.35">
      <c r="A12" s="6" t="s">
        <v>48</v>
      </c>
      <c r="B12" s="5">
        <v>50000</v>
      </c>
      <c r="C12" s="5">
        <f>C10-C6</f>
        <v>136500</v>
      </c>
      <c r="D12" s="5">
        <f t="shared" ref="D12:F12" si="3">D10-D6</f>
        <v>124500</v>
      </c>
      <c r="E12" s="5">
        <f t="shared" si="3"/>
        <v>112500</v>
      </c>
      <c r="F12" s="5">
        <f t="shared" si="3"/>
        <v>102000</v>
      </c>
      <c r="G12" s="5">
        <f>F13</f>
        <v>425500</v>
      </c>
    </row>
    <row r="13" spans="1:7" x14ac:dyDescent="0.35">
      <c r="A13" s="6" t="s">
        <v>49</v>
      </c>
      <c r="B13" s="5">
        <v>50000</v>
      </c>
      <c r="C13" s="5">
        <f>C12-B13</f>
        <v>86500</v>
      </c>
      <c r="D13" s="5">
        <f>C13+D12</f>
        <v>211000</v>
      </c>
      <c r="E13" s="5">
        <f>D13 + E12</f>
        <v>323500</v>
      </c>
      <c r="F13" s="5">
        <f>E13+F12</f>
        <v>425500</v>
      </c>
      <c r="G13" s="13"/>
    </row>
    <row r="14" spans="1:7" x14ac:dyDescent="0.35">
      <c r="A14" s="10"/>
    </row>
    <row r="15" spans="1:7" x14ac:dyDescent="0.35">
      <c r="A15" s="6" t="s">
        <v>45</v>
      </c>
      <c r="B15" s="5">
        <f>(G10-G6)/G6</f>
        <v>2.0407673860911273</v>
      </c>
    </row>
    <row r="17" spans="2:6" x14ac:dyDescent="0.35">
      <c r="B17" s="14"/>
      <c r="C17" s="14"/>
      <c r="D17" s="14"/>
      <c r="E17" s="14"/>
      <c r="F17" s="7"/>
    </row>
    <row r="18" spans="2:6" x14ac:dyDescent="0.35">
      <c r="F18" s="14"/>
    </row>
  </sheetData>
  <sheetProtection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F3557-B8DA-411F-9A75-6F255CEC8765}">
  <dimension ref="A1:E7"/>
  <sheetViews>
    <sheetView zoomScale="85" zoomScaleNormal="85" workbookViewId="0">
      <selection activeCell="E23" sqref="E23"/>
    </sheetView>
  </sheetViews>
  <sheetFormatPr defaultRowHeight="14.5" x14ac:dyDescent="0.35"/>
  <cols>
    <col min="2" max="2" width="11.90625" bestFit="1" customWidth="1"/>
    <col min="3" max="3" width="11.453125" bestFit="1" customWidth="1"/>
    <col min="4" max="4" width="16.1796875" bestFit="1" customWidth="1"/>
    <col min="5" max="5" width="18.7265625" bestFit="1" customWidth="1"/>
  </cols>
  <sheetData>
    <row r="1" spans="1:5" ht="17" x14ac:dyDescent="0.4">
      <c r="A1" s="15" t="s">
        <v>7</v>
      </c>
      <c r="B1" s="15" t="s">
        <v>15</v>
      </c>
      <c r="C1" s="15" t="s">
        <v>14</v>
      </c>
      <c r="D1" s="15" t="s">
        <v>10</v>
      </c>
      <c r="E1" s="15" t="s">
        <v>11</v>
      </c>
    </row>
    <row r="2" spans="1:5" ht="17" x14ac:dyDescent="0.4">
      <c r="A2" s="16">
        <v>0</v>
      </c>
      <c r="B2" s="16">
        <v>50000</v>
      </c>
      <c r="C2" s="16">
        <v>0</v>
      </c>
      <c r="D2" s="16">
        <f>B2</f>
        <v>50000</v>
      </c>
      <c r="E2" s="16">
        <v>0</v>
      </c>
    </row>
    <row r="3" spans="1:5" ht="17" x14ac:dyDescent="0.4">
      <c r="A3" s="16">
        <v>1</v>
      </c>
      <c r="B3" s="16">
        <v>45500</v>
      </c>
      <c r="C3" s="16">
        <v>182000</v>
      </c>
      <c r="D3" s="16">
        <f>D2 +B3</f>
        <v>95500</v>
      </c>
      <c r="E3" s="16">
        <f>C3+E2</f>
        <v>182000</v>
      </c>
    </row>
    <row r="4" spans="1:5" ht="17" x14ac:dyDescent="0.4">
      <c r="A4" s="16">
        <v>2</v>
      </c>
      <c r="B4" s="16">
        <v>41500</v>
      </c>
      <c r="C4" s="16">
        <v>166000</v>
      </c>
      <c r="D4" s="16">
        <f t="shared" ref="D4:D6" si="0">D3 +B4</f>
        <v>137000</v>
      </c>
      <c r="E4" s="16">
        <f t="shared" ref="E4:E6" si="1">C4+E3</f>
        <v>348000</v>
      </c>
    </row>
    <row r="5" spans="1:5" ht="17" x14ac:dyDescent="0.4">
      <c r="A5" s="17">
        <v>3</v>
      </c>
      <c r="B5" s="17">
        <v>37500</v>
      </c>
      <c r="C5" s="17">
        <v>150000</v>
      </c>
      <c r="D5" s="16">
        <f t="shared" si="0"/>
        <v>174500</v>
      </c>
      <c r="E5" s="16">
        <f t="shared" si="1"/>
        <v>498000</v>
      </c>
    </row>
    <row r="6" spans="1:5" ht="17" x14ac:dyDescent="0.4">
      <c r="A6" s="17">
        <v>4</v>
      </c>
      <c r="B6" s="17">
        <v>34000</v>
      </c>
      <c r="C6" s="17">
        <v>136000</v>
      </c>
      <c r="D6" s="16">
        <f t="shared" si="0"/>
        <v>208500</v>
      </c>
      <c r="E6" s="16">
        <f t="shared" si="1"/>
        <v>634000</v>
      </c>
    </row>
    <row r="7" spans="1:5" x14ac:dyDescent="0.35">
      <c r="A7" s="13"/>
    </row>
  </sheetData>
  <sheetProtection sheet="1" objects="1" scenarios="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FA164-7CDD-4548-86DB-9537D89ABF5F}">
  <dimension ref="A1:K31"/>
  <sheetViews>
    <sheetView workbookViewId="0">
      <selection activeCell="L17" sqref="L17"/>
    </sheetView>
  </sheetViews>
  <sheetFormatPr defaultRowHeight="14.5" x14ac:dyDescent="0.35"/>
  <cols>
    <col min="1" max="2" width="8.7265625" style="2"/>
    <col min="3" max="3" width="3.7265625" bestFit="1" customWidth="1"/>
    <col min="4" max="7" width="3.7265625" style="2" customWidth="1"/>
    <col min="8" max="8" width="51" customWidth="1"/>
    <col min="9" max="9" width="19.26953125" customWidth="1"/>
    <col min="10" max="10" width="23" customWidth="1"/>
    <col min="11" max="11" width="4.54296875" customWidth="1"/>
  </cols>
  <sheetData>
    <row r="1" spans="2:11" ht="14.5" customHeight="1" x14ac:dyDescent="0.35">
      <c r="B1" s="28" t="s">
        <v>52</v>
      </c>
      <c r="C1" s="28"/>
      <c r="D1" s="28"/>
      <c r="E1" s="28"/>
      <c r="F1" s="28"/>
      <c r="G1" s="28"/>
      <c r="H1" s="28"/>
      <c r="I1" s="28"/>
      <c r="J1" s="28"/>
      <c r="K1" s="28"/>
    </row>
    <row r="2" spans="2:11" x14ac:dyDescent="0.35">
      <c r="B2" s="28"/>
      <c r="C2" s="28"/>
      <c r="D2" s="28"/>
      <c r="E2" s="28"/>
      <c r="F2" s="28"/>
      <c r="G2" s="28"/>
      <c r="H2" s="28"/>
      <c r="I2" s="28"/>
      <c r="J2" s="28"/>
      <c r="K2" s="28"/>
    </row>
    <row r="3" spans="2:11" ht="14.5" customHeight="1" x14ac:dyDescent="0.35">
      <c r="B3" s="27" t="s">
        <v>53</v>
      </c>
      <c r="C3" s="27"/>
      <c r="D3" s="27"/>
      <c r="E3" s="27"/>
      <c r="F3" s="27"/>
      <c r="G3" s="27"/>
      <c r="H3" s="27"/>
      <c r="I3" s="27"/>
      <c r="J3" s="27"/>
      <c r="K3" s="27"/>
    </row>
    <row r="4" spans="2:11" x14ac:dyDescent="0.35">
      <c r="B4" s="27"/>
      <c r="C4" s="27"/>
      <c r="D4" s="27"/>
      <c r="E4" s="27"/>
      <c r="F4" s="27"/>
      <c r="G4" s="27"/>
      <c r="H4" s="27"/>
      <c r="I4" s="27"/>
      <c r="J4" s="27"/>
      <c r="K4" s="27"/>
    </row>
    <row r="5" spans="2:11" x14ac:dyDescent="0.35">
      <c r="B5" s="27"/>
      <c r="C5" s="27"/>
      <c r="D5" s="27"/>
      <c r="E5" s="27"/>
      <c r="F5" s="27"/>
      <c r="G5" s="27"/>
      <c r="H5" s="27"/>
      <c r="I5" s="27"/>
      <c r="J5" s="27"/>
      <c r="K5" s="27"/>
    </row>
    <row r="6" spans="2:11" x14ac:dyDescent="0.35">
      <c r="B6" s="27"/>
      <c r="C6" s="27"/>
      <c r="D6" s="27"/>
      <c r="E6" s="27"/>
      <c r="F6" s="27"/>
      <c r="G6" s="27"/>
      <c r="H6" s="27"/>
      <c r="I6" s="27"/>
      <c r="J6" s="27"/>
      <c r="K6" s="27"/>
    </row>
    <row r="7" spans="2:11" x14ac:dyDescent="0.35">
      <c r="B7" s="27"/>
      <c r="C7" s="27"/>
      <c r="D7" s="27"/>
      <c r="E7" s="27"/>
      <c r="F7" s="27"/>
      <c r="G7" s="27"/>
      <c r="H7" s="27"/>
      <c r="I7" s="27"/>
      <c r="J7" s="27"/>
      <c r="K7" s="27"/>
    </row>
    <row r="8" spans="2:11" x14ac:dyDescent="0.35">
      <c r="B8" s="27"/>
      <c r="C8" s="27"/>
      <c r="D8" s="27"/>
      <c r="E8" s="27"/>
      <c r="F8" s="27"/>
      <c r="G8" s="27"/>
      <c r="H8" s="27"/>
      <c r="I8" s="27"/>
      <c r="J8" s="27"/>
      <c r="K8" s="27"/>
    </row>
    <row r="9" spans="2:11" x14ac:dyDescent="0.35">
      <c r="B9" s="27"/>
      <c r="C9" s="27"/>
      <c r="D9" s="27"/>
      <c r="E9" s="27"/>
      <c r="F9" s="27"/>
      <c r="G9" s="27"/>
      <c r="H9" s="27"/>
      <c r="I9" s="27"/>
      <c r="J9" s="27"/>
      <c r="K9" s="27"/>
    </row>
    <row r="10" spans="2:11" x14ac:dyDescent="0.35">
      <c r="B10" s="27"/>
      <c r="C10" s="27"/>
      <c r="D10" s="27"/>
      <c r="E10" s="27"/>
      <c r="F10" s="27"/>
      <c r="G10" s="27"/>
      <c r="H10" s="27"/>
      <c r="I10" s="27"/>
      <c r="J10" s="27"/>
      <c r="K10" s="27"/>
    </row>
    <row r="11" spans="2:11" x14ac:dyDescent="0.35">
      <c r="B11" s="27"/>
      <c r="C11" s="27"/>
      <c r="D11" s="27"/>
      <c r="E11" s="27"/>
      <c r="F11" s="27"/>
      <c r="G11" s="27"/>
      <c r="H11" s="27"/>
      <c r="I11" s="27"/>
      <c r="J11" s="27"/>
      <c r="K11" s="27"/>
    </row>
    <row r="12" spans="2:11" x14ac:dyDescent="0.35">
      <c r="B12" s="27"/>
      <c r="C12" s="27"/>
      <c r="D12" s="27"/>
      <c r="E12" s="27"/>
      <c r="F12" s="27"/>
      <c r="G12" s="27"/>
      <c r="H12" s="27"/>
      <c r="I12" s="27"/>
      <c r="J12" s="27"/>
      <c r="K12" s="27"/>
    </row>
    <row r="13" spans="2:11" x14ac:dyDescent="0.35">
      <c r="B13" s="27"/>
      <c r="C13" s="27"/>
      <c r="D13" s="27"/>
      <c r="E13" s="27"/>
      <c r="F13" s="27"/>
      <c r="G13" s="27"/>
      <c r="H13" s="27"/>
      <c r="I13" s="27"/>
      <c r="J13" s="27"/>
      <c r="K13" s="27"/>
    </row>
    <row r="14" spans="2:11" x14ac:dyDescent="0.35">
      <c r="B14" s="27"/>
      <c r="C14" s="27"/>
      <c r="D14" s="27"/>
      <c r="E14" s="27"/>
      <c r="F14" s="27"/>
      <c r="G14" s="27"/>
      <c r="H14" s="27"/>
      <c r="I14" s="27"/>
      <c r="J14" s="27"/>
      <c r="K14" s="27"/>
    </row>
    <row r="15" spans="2:11" x14ac:dyDescent="0.35">
      <c r="B15" s="27"/>
      <c r="C15" s="27"/>
      <c r="D15" s="27"/>
      <c r="E15" s="27"/>
      <c r="F15" s="27"/>
      <c r="G15" s="27"/>
      <c r="H15" s="27"/>
      <c r="I15" s="27"/>
      <c r="J15" s="27"/>
      <c r="K15" s="27"/>
    </row>
    <row r="16" spans="2:11" x14ac:dyDescent="0.35">
      <c r="B16" s="27"/>
      <c r="C16" s="27"/>
      <c r="D16" s="27"/>
      <c r="E16" s="27"/>
      <c r="F16" s="27"/>
      <c r="G16" s="27"/>
      <c r="H16" s="27"/>
      <c r="I16" s="27"/>
      <c r="J16" s="27"/>
      <c r="K16" s="27"/>
    </row>
    <row r="17" spans="2:11" x14ac:dyDescent="0.35">
      <c r="B17" s="27"/>
      <c r="C17" s="27"/>
      <c r="D17" s="27"/>
      <c r="E17" s="27"/>
      <c r="F17" s="27"/>
      <c r="G17" s="27"/>
      <c r="H17" s="27"/>
      <c r="I17" s="27"/>
      <c r="J17" s="27"/>
      <c r="K17" s="27"/>
    </row>
    <row r="18" spans="2:11" x14ac:dyDescent="0.35">
      <c r="B18" s="27"/>
      <c r="C18" s="27"/>
      <c r="D18" s="27"/>
      <c r="E18" s="27"/>
      <c r="F18" s="27"/>
      <c r="G18" s="27"/>
      <c r="H18" s="27"/>
      <c r="I18" s="27"/>
      <c r="J18" s="27"/>
      <c r="K18" s="27"/>
    </row>
    <row r="19" spans="2:11" x14ac:dyDescent="0.35">
      <c r="B19" s="27"/>
      <c r="C19" s="27"/>
      <c r="D19" s="27"/>
      <c r="E19" s="27"/>
      <c r="F19" s="27"/>
      <c r="G19" s="27"/>
      <c r="H19" s="27"/>
      <c r="I19" s="27"/>
      <c r="J19" s="27"/>
      <c r="K19" s="27"/>
    </row>
    <row r="20" spans="2:11" x14ac:dyDescent="0.35">
      <c r="B20" s="30"/>
      <c r="C20" s="18" t="s">
        <v>54</v>
      </c>
      <c r="D20" s="31" t="s">
        <v>55</v>
      </c>
      <c r="E20" s="32"/>
      <c r="F20" s="32"/>
      <c r="G20" s="32"/>
      <c r="H20" s="33"/>
      <c r="I20" s="18" t="s">
        <v>56</v>
      </c>
      <c r="J20" s="18" t="s">
        <v>57</v>
      </c>
      <c r="K20" s="37"/>
    </row>
    <row r="21" spans="2:11" ht="14.5" customHeight="1" x14ac:dyDescent="0.35">
      <c r="B21" s="30"/>
      <c r="C21" s="19">
        <v>1</v>
      </c>
      <c r="D21" s="34" t="s">
        <v>58</v>
      </c>
      <c r="E21" s="35"/>
      <c r="F21" s="35"/>
      <c r="G21" s="35"/>
      <c r="H21" s="36"/>
      <c r="I21" s="19" t="s">
        <v>59</v>
      </c>
      <c r="J21" s="20">
        <v>45941</v>
      </c>
      <c r="K21" s="37"/>
    </row>
    <row r="22" spans="2:11" ht="14.5" customHeight="1" x14ac:dyDescent="0.35">
      <c r="B22" s="30"/>
      <c r="C22" s="19">
        <v>2</v>
      </c>
      <c r="D22" s="34" t="s">
        <v>60</v>
      </c>
      <c r="E22" s="35"/>
      <c r="F22" s="35"/>
      <c r="G22" s="35"/>
      <c r="H22" s="36"/>
      <c r="I22" s="19" t="s">
        <v>61</v>
      </c>
      <c r="J22" s="21" t="s">
        <v>62</v>
      </c>
      <c r="K22" s="37"/>
    </row>
    <row r="23" spans="2:11" ht="14.5" customHeight="1" x14ac:dyDescent="0.35">
      <c r="B23" s="30"/>
      <c r="C23" s="19">
        <v>3</v>
      </c>
      <c r="D23" s="34" t="s">
        <v>63</v>
      </c>
      <c r="E23" s="35"/>
      <c r="F23" s="35"/>
      <c r="G23" s="35"/>
      <c r="H23" s="36"/>
      <c r="I23" s="19" t="s">
        <v>64</v>
      </c>
      <c r="J23" s="21" t="s">
        <v>65</v>
      </c>
      <c r="K23" s="37"/>
    </row>
    <row r="24" spans="2:11" ht="14.5" customHeight="1" x14ac:dyDescent="0.35">
      <c r="B24" s="30"/>
      <c r="C24" s="19">
        <v>4</v>
      </c>
      <c r="D24" s="34" t="s">
        <v>66</v>
      </c>
      <c r="E24" s="35"/>
      <c r="F24" s="35"/>
      <c r="G24" s="35"/>
      <c r="H24" s="36"/>
      <c r="I24" s="19" t="s">
        <v>67</v>
      </c>
      <c r="J24" s="21" t="s">
        <v>68</v>
      </c>
      <c r="K24" s="37"/>
    </row>
    <row r="25" spans="2:11" ht="14.5" customHeight="1" x14ac:dyDescent="0.35">
      <c r="B25" s="29" t="s">
        <v>84</v>
      </c>
      <c r="C25" s="29"/>
      <c r="D25" s="29"/>
      <c r="E25" s="29"/>
      <c r="F25" s="29"/>
      <c r="G25" s="29"/>
      <c r="H25" s="29"/>
      <c r="I25" s="29"/>
      <c r="J25" s="29"/>
      <c r="K25" s="29"/>
    </row>
    <row r="26" spans="2:11" x14ac:dyDescent="0.35">
      <c r="B26" s="29"/>
      <c r="C26" s="29"/>
      <c r="D26" s="29"/>
      <c r="E26" s="29"/>
      <c r="F26" s="29"/>
      <c r="G26" s="29"/>
      <c r="H26" s="29"/>
      <c r="I26" s="29"/>
      <c r="J26" s="29"/>
      <c r="K26" s="29"/>
    </row>
    <row r="27" spans="2:11" x14ac:dyDescent="0.35">
      <c r="B27" s="29"/>
      <c r="C27" s="29"/>
      <c r="D27" s="29"/>
      <c r="E27" s="29"/>
      <c r="F27" s="29"/>
      <c r="G27" s="29"/>
      <c r="H27" s="29"/>
      <c r="I27" s="29"/>
      <c r="J27" s="29"/>
      <c r="K27" s="29"/>
    </row>
    <row r="28" spans="2:11" x14ac:dyDescent="0.35">
      <c r="B28" s="29"/>
      <c r="C28" s="29"/>
      <c r="D28" s="29"/>
      <c r="E28" s="29"/>
      <c r="F28" s="29"/>
      <c r="G28" s="29"/>
      <c r="H28" s="29"/>
      <c r="I28" s="29"/>
      <c r="J28" s="29"/>
      <c r="K28" s="29"/>
    </row>
    <row r="29" spans="2:11" x14ac:dyDescent="0.35">
      <c r="B29" s="29"/>
      <c r="C29" s="29"/>
      <c r="D29" s="29"/>
      <c r="E29" s="29"/>
      <c r="F29" s="29"/>
      <c r="G29" s="29"/>
      <c r="H29" s="29"/>
      <c r="I29" s="29"/>
      <c r="J29" s="29"/>
      <c r="K29" s="29"/>
    </row>
    <row r="30" spans="2:11" x14ac:dyDescent="0.35">
      <c r="B30" s="29"/>
      <c r="C30" s="29"/>
      <c r="D30" s="29"/>
      <c r="E30" s="29"/>
      <c r="F30" s="29"/>
      <c r="G30" s="29"/>
      <c r="H30" s="29"/>
      <c r="I30" s="29"/>
      <c r="J30" s="29"/>
      <c r="K30" s="29"/>
    </row>
    <row r="31" spans="2:11" x14ac:dyDescent="0.35">
      <c r="B31" s="29"/>
      <c r="C31" s="29"/>
      <c r="D31" s="29"/>
      <c r="E31" s="29"/>
      <c r="F31" s="29"/>
      <c r="G31" s="29"/>
      <c r="H31" s="29"/>
      <c r="I31" s="29"/>
      <c r="J31" s="29"/>
      <c r="K31" s="29"/>
    </row>
  </sheetData>
  <sheetProtection sheet="1" objects="1" scenarios="1"/>
  <mergeCells count="10">
    <mergeCell ref="B3:K19"/>
    <mergeCell ref="B1:K2"/>
    <mergeCell ref="B25:K31"/>
    <mergeCell ref="B20:B24"/>
    <mergeCell ref="D20:H20"/>
    <mergeCell ref="D21:H21"/>
    <mergeCell ref="D22:H22"/>
    <mergeCell ref="D23:H23"/>
    <mergeCell ref="D24:H24"/>
    <mergeCell ref="K20:K24"/>
  </mergeCells>
  <pageMargins left="0.7" right="0.7" top="0.75" bottom="0.75" header="0.3" footer="0.3"/>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BD680-39B1-4570-8241-E5F4E150A01E}">
  <dimension ref="B1:M50"/>
  <sheetViews>
    <sheetView topLeftCell="A26" workbookViewId="0">
      <selection activeCell="Q12" sqref="Q12"/>
    </sheetView>
  </sheetViews>
  <sheetFormatPr defaultRowHeight="14.5" x14ac:dyDescent="0.35"/>
  <cols>
    <col min="11" max="11" width="8.7265625" style="2"/>
  </cols>
  <sheetData>
    <row r="1" spans="2:13" x14ac:dyDescent="0.35">
      <c r="B1" s="43" t="s">
        <v>69</v>
      </c>
      <c r="C1" s="40"/>
      <c r="D1" s="40"/>
      <c r="E1" s="40"/>
      <c r="F1" s="40"/>
      <c r="G1" s="40"/>
      <c r="H1" s="40"/>
      <c r="I1" s="40"/>
      <c r="J1" s="40"/>
      <c r="K1" s="40"/>
      <c r="L1" s="40"/>
      <c r="M1" s="40"/>
    </row>
    <row r="2" spans="2:13" ht="14.5" customHeight="1" x14ac:dyDescent="0.35">
      <c r="B2" s="27" t="s">
        <v>70</v>
      </c>
      <c r="C2" s="27"/>
      <c r="D2" s="27"/>
      <c r="E2" s="27"/>
      <c r="F2" s="27"/>
      <c r="G2" s="27"/>
      <c r="H2" s="27"/>
      <c r="I2" s="27"/>
      <c r="J2" s="27"/>
      <c r="K2" s="27"/>
      <c r="L2" s="27"/>
      <c r="M2" s="27"/>
    </row>
    <row r="3" spans="2:13" x14ac:dyDescent="0.35">
      <c r="B3" s="27"/>
      <c r="C3" s="27"/>
      <c r="D3" s="27"/>
      <c r="E3" s="27"/>
      <c r="F3" s="27"/>
      <c r="G3" s="27"/>
      <c r="H3" s="27"/>
      <c r="I3" s="27"/>
      <c r="J3" s="27"/>
      <c r="K3" s="27"/>
      <c r="L3" s="27"/>
      <c r="M3" s="27"/>
    </row>
    <row r="4" spans="2:13" x14ac:dyDescent="0.35">
      <c r="B4" s="27"/>
      <c r="C4" s="27"/>
      <c r="D4" s="27"/>
      <c r="E4" s="27"/>
      <c r="F4" s="27"/>
      <c r="G4" s="27"/>
      <c r="H4" s="27"/>
      <c r="I4" s="27"/>
      <c r="J4" s="27"/>
      <c r="K4" s="27"/>
      <c r="L4" s="27"/>
      <c r="M4" s="27"/>
    </row>
    <row r="5" spans="2:13" x14ac:dyDescent="0.35">
      <c r="B5" s="27"/>
      <c r="C5" s="27"/>
      <c r="D5" s="27"/>
      <c r="E5" s="27"/>
      <c r="F5" s="27"/>
      <c r="G5" s="27"/>
      <c r="H5" s="27"/>
      <c r="I5" s="27"/>
      <c r="J5" s="27"/>
      <c r="K5" s="27"/>
      <c r="L5" s="27"/>
      <c r="M5" s="27"/>
    </row>
    <row r="6" spans="2:13" x14ac:dyDescent="0.35">
      <c r="B6" s="27"/>
      <c r="C6" s="27"/>
      <c r="D6" s="27"/>
      <c r="E6" s="27"/>
      <c r="F6" s="27"/>
      <c r="G6" s="27"/>
      <c r="H6" s="27"/>
      <c r="I6" s="27"/>
      <c r="J6" s="27"/>
      <c r="K6" s="27"/>
      <c r="L6" s="27"/>
      <c r="M6" s="27"/>
    </row>
    <row r="7" spans="2:13" x14ac:dyDescent="0.35">
      <c r="B7" s="42"/>
      <c r="C7" s="44" t="s">
        <v>71</v>
      </c>
      <c r="D7" s="44"/>
      <c r="E7" s="44"/>
      <c r="F7" s="44" t="s">
        <v>72</v>
      </c>
      <c r="G7" s="44"/>
      <c r="H7" s="44"/>
      <c r="I7" s="44"/>
      <c r="J7" s="44"/>
      <c r="K7" s="44"/>
      <c r="L7" s="44"/>
      <c r="M7" s="42"/>
    </row>
    <row r="8" spans="2:13" x14ac:dyDescent="0.35">
      <c r="B8" s="42"/>
      <c r="C8" s="44" t="s">
        <v>59</v>
      </c>
      <c r="D8" s="44"/>
      <c r="E8" s="44"/>
      <c r="F8" s="44"/>
      <c r="G8" s="44"/>
      <c r="H8" s="44"/>
      <c r="I8" s="44"/>
      <c r="J8" s="44"/>
      <c r="K8" s="44"/>
      <c r="L8" s="44"/>
      <c r="M8" s="42"/>
    </row>
    <row r="9" spans="2:13" x14ac:dyDescent="0.35">
      <c r="B9" s="42"/>
      <c r="C9" s="44" t="s">
        <v>73</v>
      </c>
      <c r="D9" s="44"/>
      <c r="E9" s="44"/>
      <c r="F9" s="44"/>
      <c r="G9" s="44"/>
      <c r="H9" s="44"/>
      <c r="I9" s="44"/>
      <c r="J9" s="44"/>
      <c r="K9" s="44"/>
      <c r="L9" s="44"/>
      <c r="M9" s="42"/>
    </row>
    <row r="10" spans="2:13" x14ac:dyDescent="0.35">
      <c r="B10" s="27" t="s">
        <v>75</v>
      </c>
      <c r="C10" s="27"/>
      <c r="D10" s="27"/>
      <c r="E10" s="27"/>
      <c r="F10" s="27"/>
      <c r="G10" s="27"/>
      <c r="H10" s="27"/>
      <c r="I10" s="27"/>
      <c r="J10" s="27"/>
      <c r="K10" s="27"/>
      <c r="L10" s="27"/>
      <c r="M10" s="27"/>
    </row>
    <row r="11" spans="2:13" s="2" customFormat="1" x14ac:dyDescent="0.35">
      <c r="B11" s="27"/>
      <c r="C11" s="27"/>
      <c r="D11" s="27"/>
      <c r="E11" s="27"/>
      <c r="F11" s="27"/>
      <c r="G11" s="27"/>
      <c r="H11" s="27"/>
      <c r="I11" s="27"/>
      <c r="J11" s="27"/>
      <c r="K11" s="27"/>
      <c r="L11" s="27"/>
      <c r="M11" s="27"/>
    </row>
    <row r="12" spans="2:13" x14ac:dyDescent="0.35">
      <c r="B12" s="27"/>
      <c r="C12" s="27"/>
      <c r="D12" s="27"/>
      <c r="E12" s="27"/>
      <c r="F12" s="27"/>
      <c r="G12" s="27"/>
      <c r="H12" s="27"/>
      <c r="I12" s="27"/>
      <c r="J12" s="27"/>
      <c r="K12" s="27"/>
      <c r="L12" s="27"/>
      <c r="M12" s="27"/>
    </row>
    <row r="13" spans="2:13" ht="14.5" customHeight="1" x14ac:dyDescent="0.35">
      <c r="B13" s="42"/>
      <c r="C13" s="38" t="s">
        <v>74</v>
      </c>
      <c r="D13" s="27"/>
      <c r="E13" s="27"/>
      <c r="F13" s="27"/>
      <c r="G13" s="27"/>
      <c r="H13" s="27"/>
      <c r="I13" s="27"/>
      <c r="J13" s="27"/>
      <c r="K13" s="27"/>
      <c r="L13" s="27"/>
      <c r="M13" s="27"/>
    </row>
    <row r="14" spans="2:13" x14ac:dyDescent="0.35">
      <c r="B14" s="42"/>
      <c r="C14" s="27"/>
      <c r="D14" s="27"/>
      <c r="E14" s="27"/>
      <c r="F14" s="27"/>
      <c r="G14" s="27"/>
      <c r="H14" s="27"/>
      <c r="I14" s="27"/>
      <c r="J14" s="27"/>
      <c r="K14" s="27"/>
      <c r="L14" s="27"/>
      <c r="M14" s="27"/>
    </row>
    <row r="15" spans="2:13" x14ac:dyDescent="0.35">
      <c r="B15" s="42"/>
      <c r="C15" s="27"/>
      <c r="D15" s="27"/>
      <c r="E15" s="27"/>
      <c r="F15" s="27"/>
      <c r="G15" s="27"/>
      <c r="H15" s="27"/>
      <c r="I15" s="27"/>
      <c r="J15" s="27"/>
      <c r="K15" s="27"/>
      <c r="L15" s="27"/>
      <c r="M15" s="27"/>
    </row>
    <row r="16" spans="2:13" x14ac:dyDescent="0.35">
      <c r="B16" s="27" t="s">
        <v>76</v>
      </c>
      <c r="C16" s="27"/>
      <c r="D16" s="27"/>
      <c r="E16" s="27"/>
      <c r="F16" s="27"/>
      <c r="G16" s="27"/>
      <c r="H16" s="27"/>
      <c r="I16" s="27"/>
      <c r="J16" s="27"/>
      <c r="K16" s="27"/>
      <c r="L16" s="27"/>
      <c r="M16" s="27"/>
    </row>
    <row r="17" spans="2:13" s="2" customFormat="1" x14ac:dyDescent="0.35">
      <c r="B17" s="27"/>
      <c r="C17" s="27"/>
      <c r="D17" s="27"/>
      <c r="E17" s="27"/>
      <c r="F17" s="27"/>
      <c r="G17" s="27"/>
      <c r="H17" s="27"/>
      <c r="I17" s="27"/>
      <c r="J17" s="27"/>
      <c r="K17" s="27"/>
      <c r="L17" s="27"/>
      <c r="M17" s="27"/>
    </row>
    <row r="18" spans="2:13" x14ac:dyDescent="0.35">
      <c r="B18" s="27"/>
      <c r="C18" s="27"/>
      <c r="D18" s="27"/>
      <c r="E18" s="27"/>
      <c r="F18" s="27"/>
      <c r="G18" s="27"/>
      <c r="H18" s="27"/>
      <c r="I18" s="27"/>
      <c r="J18" s="27"/>
      <c r="K18" s="27"/>
      <c r="L18" s="27"/>
      <c r="M18" s="27"/>
    </row>
    <row r="19" spans="2:13" x14ac:dyDescent="0.35">
      <c r="B19" s="42"/>
      <c r="C19" s="38" t="s">
        <v>77</v>
      </c>
      <c r="D19" s="39"/>
      <c r="E19" s="39"/>
      <c r="F19" s="39"/>
      <c r="G19" s="39"/>
      <c r="H19" s="39"/>
      <c r="I19" s="39"/>
      <c r="J19" s="39"/>
      <c r="K19" s="39"/>
      <c r="L19" s="39"/>
      <c r="M19" s="39"/>
    </row>
    <row r="20" spans="2:13" x14ac:dyDescent="0.35">
      <c r="B20" s="42"/>
      <c r="C20" s="39"/>
      <c r="D20" s="39"/>
      <c r="E20" s="39"/>
      <c r="F20" s="39"/>
      <c r="G20" s="39"/>
      <c r="H20" s="39"/>
      <c r="I20" s="39"/>
      <c r="J20" s="39"/>
      <c r="K20" s="39"/>
      <c r="L20" s="39"/>
      <c r="M20" s="39"/>
    </row>
    <row r="21" spans="2:13" x14ac:dyDescent="0.35">
      <c r="B21" s="42"/>
      <c r="C21" s="39"/>
      <c r="D21" s="39"/>
      <c r="E21" s="39"/>
      <c r="F21" s="39"/>
      <c r="G21" s="39"/>
      <c r="H21" s="39"/>
      <c r="I21" s="39"/>
      <c r="J21" s="39"/>
      <c r="K21" s="39"/>
      <c r="L21" s="39"/>
      <c r="M21" s="39"/>
    </row>
    <row r="22" spans="2:13" x14ac:dyDescent="0.35">
      <c r="B22" s="42"/>
      <c r="C22" s="39"/>
      <c r="D22" s="39"/>
      <c r="E22" s="39"/>
      <c r="F22" s="39"/>
      <c r="G22" s="39"/>
      <c r="H22" s="39"/>
      <c r="I22" s="39"/>
      <c r="J22" s="39"/>
      <c r="K22" s="39"/>
      <c r="L22" s="39"/>
      <c r="M22" s="39"/>
    </row>
    <row r="23" spans="2:13" x14ac:dyDescent="0.35">
      <c r="B23" s="42"/>
      <c r="C23" s="39"/>
      <c r="D23" s="39"/>
      <c r="E23" s="39"/>
      <c r="F23" s="39"/>
      <c r="G23" s="39"/>
      <c r="H23" s="39"/>
      <c r="I23" s="39"/>
      <c r="J23" s="39"/>
      <c r="K23" s="39"/>
      <c r="L23" s="39"/>
      <c r="M23" s="39"/>
    </row>
    <row r="24" spans="2:13" x14ac:dyDescent="0.35">
      <c r="B24" s="42"/>
      <c r="C24" s="39"/>
      <c r="D24" s="39"/>
      <c r="E24" s="39"/>
      <c r="F24" s="39"/>
      <c r="G24" s="39"/>
      <c r="H24" s="39"/>
      <c r="I24" s="39"/>
      <c r="J24" s="39"/>
      <c r="K24" s="39"/>
      <c r="L24" s="39"/>
      <c r="M24" s="39"/>
    </row>
    <row r="25" spans="2:13" x14ac:dyDescent="0.35">
      <c r="B25" s="27" t="s">
        <v>78</v>
      </c>
      <c r="C25" s="39"/>
      <c r="D25" s="39"/>
      <c r="E25" s="39"/>
      <c r="F25" s="39"/>
      <c r="G25" s="39"/>
      <c r="H25" s="39"/>
      <c r="I25" s="39"/>
      <c r="J25" s="39"/>
      <c r="K25" s="39"/>
      <c r="L25" s="39"/>
      <c r="M25" s="39"/>
    </row>
    <row r="26" spans="2:13" x14ac:dyDescent="0.35">
      <c r="B26" s="39"/>
      <c r="C26" s="39"/>
      <c r="D26" s="39"/>
      <c r="E26" s="39"/>
      <c r="F26" s="39"/>
      <c r="G26" s="39"/>
      <c r="H26" s="39"/>
      <c r="I26" s="39"/>
      <c r="J26" s="39"/>
      <c r="K26" s="39"/>
      <c r="L26" s="39"/>
      <c r="M26" s="39"/>
    </row>
    <row r="27" spans="2:13" x14ac:dyDescent="0.35">
      <c r="B27" s="39"/>
      <c r="C27" s="39"/>
      <c r="D27" s="39"/>
      <c r="E27" s="39"/>
      <c r="F27" s="39"/>
      <c r="G27" s="39"/>
      <c r="H27" s="39"/>
      <c r="I27" s="39"/>
      <c r="J27" s="39"/>
      <c r="K27" s="39"/>
      <c r="L27" s="39"/>
      <c r="M27" s="39"/>
    </row>
    <row r="28" spans="2:13" x14ac:dyDescent="0.35">
      <c r="B28" s="40"/>
      <c r="C28" s="38" t="s">
        <v>79</v>
      </c>
      <c r="D28" s="39"/>
      <c r="E28" s="39"/>
      <c r="F28" s="39"/>
      <c r="G28" s="39"/>
      <c r="H28" s="39"/>
      <c r="I28" s="39"/>
      <c r="J28" s="39"/>
      <c r="K28" s="39"/>
      <c r="L28" s="39"/>
      <c r="M28" s="39"/>
    </row>
    <row r="29" spans="2:13" x14ac:dyDescent="0.35">
      <c r="B29" s="40"/>
      <c r="C29" s="39"/>
      <c r="D29" s="39"/>
      <c r="E29" s="39"/>
      <c r="F29" s="39"/>
      <c r="G29" s="39"/>
      <c r="H29" s="39"/>
      <c r="I29" s="39"/>
      <c r="J29" s="39"/>
      <c r="K29" s="39"/>
      <c r="L29" s="39"/>
      <c r="M29" s="39"/>
    </row>
    <row r="30" spans="2:13" x14ac:dyDescent="0.35">
      <c r="B30" s="40"/>
      <c r="C30" s="39"/>
      <c r="D30" s="39"/>
      <c r="E30" s="39"/>
      <c r="F30" s="39"/>
      <c r="G30" s="39"/>
      <c r="H30" s="39"/>
      <c r="I30" s="39"/>
      <c r="J30" s="39"/>
      <c r="K30" s="39"/>
      <c r="L30" s="39"/>
      <c r="M30" s="39"/>
    </row>
    <row r="31" spans="2:13" x14ac:dyDescent="0.35">
      <c r="B31" s="40"/>
      <c r="C31" s="39"/>
      <c r="D31" s="39"/>
      <c r="E31" s="39"/>
      <c r="F31" s="39"/>
      <c r="G31" s="39"/>
      <c r="H31" s="39"/>
      <c r="I31" s="39"/>
      <c r="J31" s="39"/>
      <c r="K31" s="39"/>
      <c r="L31" s="39"/>
      <c r="M31" s="39"/>
    </row>
    <row r="32" spans="2:13" x14ac:dyDescent="0.35">
      <c r="B32" s="40"/>
      <c r="C32" s="39"/>
      <c r="D32" s="39"/>
      <c r="E32" s="39"/>
      <c r="F32" s="39"/>
      <c r="G32" s="39"/>
      <c r="H32" s="39"/>
      <c r="I32" s="39"/>
      <c r="J32" s="39"/>
      <c r="K32" s="39"/>
      <c r="L32" s="39"/>
      <c r="M32" s="39"/>
    </row>
    <row r="33" spans="2:13" x14ac:dyDescent="0.35">
      <c r="B33" s="40"/>
      <c r="C33" s="39"/>
      <c r="D33" s="39"/>
      <c r="E33" s="39"/>
      <c r="F33" s="39"/>
      <c r="G33" s="39"/>
      <c r="H33" s="39"/>
      <c r="I33" s="39"/>
      <c r="J33" s="39"/>
      <c r="K33" s="39"/>
      <c r="L33" s="39"/>
      <c r="M33" s="39"/>
    </row>
    <row r="34" spans="2:13" x14ac:dyDescent="0.35">
      <c r="B34" s="27" t="s">
        <v>80</v>
      </c>
      <c r="C34" s="39"/>
      <c r="D34" s="39"/>
      <c r="E34" s="39"/>
      <c r="F34" s="39"/>
      <c r="G34" s="39"/>
      <c r="H34" s="39"/>
      <c r="I34" s="39"/>
      <c r="J34" s="39"/>
      <c r="K34" s="39"/>
      <c r="L34" s="39"/>
      <c r="M34" s="39"/>
    </row>
    <row r="35" spans="2:13" x14ac:dyDescent="0.35">
      <c r="B35" s="39"/>
      <c r="C35" s="39"/>
      <c r="D35" s="39"/>
      <c r="E35" s="39"/>
      <c r="F35" s="39"/>
      <c r="G35" s="39"/>
      <c r="H35" s="39"/>
      <c r="I35" s="39"/>
      <c r="J35" s="39"/>
      <c r="K35" s="39"/>
      <c r="L35" s="39"/>
      <c r="M35" s="39"/>
    </row>
    <row r="36" spans="2:13" x14ac:dyDescent="0.35">
      <c r="B36" s="39"/>
      <c r="C36" s="39"/>
      <c r="D36" s="39"/>
      <c r="E36" s="39"/>
      <c r="F36" s="39"/>
      <c r="G36" s="39"/>
      <c r="H36" s="39"/>
      <c r="I36" s="39"/>
      <c r="J36" s="39"/>
      <c r="K36" s="39"/>
      <c r="L36" s="39"/>
      <c r="M36" s="39"/>
    </row>
    <row r="37" spans="2:13" x14ac:dyDescent="0.35">
      <c r="B37" s="40"/>
      <c r="C37" s="38" t="s">
        <v>81</v>
      </c>
      <c r="D37" s="39"/>
      <c r="E37" s="39"/>
      <c r="F37" s="39"/>
      <c r="G37" s="39"/>
      <c r="H37" s="39"/>
      <c r="I37" s="39"/>
      <c r="J37" s="39"/>
      <c r="K37" s="39"/>
      <c r="L37" s="39"/>
      <c r="M37" s="39"/>
    </row>
    <row r="38" spans="2:13" x14ac:dyDescent="0.35">
      <c r="B38" s="40"/>
      <c r="C38" s="39"/>
      <c r="D38" s="39"/>
      <c r="E38" s="39"/>
      <c r="F38" s="39"/>
      <c r="G38" s="39"/>
      <c r="H38" s="39"/>
      <c r="I38" s="39"/>
      <c r="J38" s="39"/>
      <c r="K38" s="39"/>
      <c r="L38" s="39"/>
      <c r="M38" s="39"/>
    </row>
    <row r="39" spans="2:13" x14ac:dyDescent="0.35">
      <c r="B39" s="40"/>
      <c r="C39" s="39"/>
      <c r="D39" s="39"/>
      <c r="E39" s="39"/>
      <c r="F39" s="39"/>
      <c r="G39" s="39"/>
      <c r="H39" s="39"/>
      <c r="I39" s="39"/>
      <c r="J39" s="39"/>
      <c r="K39" s="39"/>
      <c r="L39" s="39"/>
      <c r="M39" s="39"/>
    </row>
    <row r="40" spans="2:13" x14ac:dyDescent="0.35">
      <c r="B40" s="27" t="s">
        <v>82</v>
      </c>
      <c r="C40" s="39"/>
      <c r="D40" s="39"/>
      <c r="E40" s="39"/>
      <c r="F40" s="39"/>
      <c r="G40" s="39"/>
      <c r="H40" s="39"/>
      <c r="I40" s="39"/>
      <c r="J40" s="39"/>
      <c r="K40" s="39"/>
      <c r="L40" s="39"/>
      <c r="M40" s="39"/>
    </row>
    <row r="41" spans="2:13" x14ac:dyDescent="0.35">
      <c r="B41" s="39"/>
      <c r="C41" s="39"/>
      <c r="D41" s="39"/>
      <c r="E41" s="39"/>
      <c r="F41" s="39"/>
      <c r="G41" s="39"/>
      <c r="H41" s="39"/>
      <c r="I41" s="39"/>
      <c r="J41" s="39"/>
      <c r="K41" s="39"/>
      <c r="L41" s="39"/>
      <c r="M41" s="39"/>
    </row>
    <row r="42" spans="2:13" x14ac:dyDescent="0.35">
      <c r="B42" s="39"/>
      <c r="C42" s="39"/>
      <c r="D42" s="39"/>
      <c r="E42" s="39"/>
      <c r="F42" s="39"/>
      <c r="G42" s="39"/>
      <c r="H42" s="39"/>
      <c r="I42" s="39"/>
      <c r="J42" s="39"/>
      <c r="K42" s="39"/>
      <c r="L42" s="39"/>
      <c r="M42" s="39"/>
    </row>
    <row r="43" spans="2:13" x14ac:dyDescent="0.35">
      <c r="B43" s="40"/>
      <c r="C43" s="38" t="s">
        <v>83</v>
      </c>
      <c r="D43" s="39"/>
      <c r="E43" s="39"/>
      <c r="F43" s="39"/>
      <c r="G43" s="39"/>
      <c r="H43" s="39"/>
      <c r="I43" s="39"/>
      <c r="J43" s="39"/>
      <c r="K43" s="39"/>
      <c r="L43" s="39"/>
      <c r="M43" s="39"/>
    </row>
    <row r="44" spans="2:13" x14ac:dyDescent="0.35">
      <c r="B44" s="40"/>
      <c r="C44" s="39"/>
      <c r="D44" s="39"/>
      <c r="E44" s="39"/>
      <c r="F44" s="39"/>
      <c r="G44" s="39"/>
      <c r="H44" s="39"/>
      <c r="I44" s="39"/>
      <c r="J44" s="39"/>
      <c r="K44" s="39"/>
      <c r="L44" s="39"/>
      <c r="M44" s="39"/>
    </row>
    <row r="45" spans="2:13" x14ac:dyDescent="0.35">
      <c r="B45" s="40"/>
      <c r="C45" s="39"/>
      <c r="D45" s="39"/>
      <c r="E45" s="39"/>
      <c r="F45" s="39"/>
      <c r="G45" s="39"/>
      <c r="H45" s="39"/>
      <c r="I45" s="39"/>
      <c r="J45" s="39"/>
      <c r="K45" s="39"/>
      <c r="L45" s="39"/>
      <c r="M45" s="39"/>
    </row>
    <row r="46" spans="2:13" x14ac:dyDescent="0.35">
      <c r="B46" s="40"/>
      <c r="C46" s="39"/>
      <c r="D46" s="39"/>
      <c r="E46" s="39"/>
      <c r="F46" s="39"/>
      <c r="G46" s="39"/>
      <c r="H46" s="39"/>
      <c r="I46" s="39"/>
      <c r="J46" s="39"/>
      <c r="K46" s="39"/>
      <c r="L46" s="39"/>
      <c r="M46" s="39"/>
    </row>
    <row r="47" spans="2:13" x14ac:dyDescent="0.35">
      <c r="B47" s="40"/>
      <c r="C47" s="39"/>
      <c r="D47" s="39"/>
      <c r="E47" s="39"/>
      <c r="F47" s="39"/>
      <c r="G47" s="39"/>
      <c r="H47" s="39"/>
      <c r="I47" s="39"/>
      <c r="J47" s="39"/>
      <c r="K47" s="39"/>
      <c r="L47" s="39"/>
      <c r="M47" s="39"/>
    </row>
    <row r="48" spans="2:13" x14ac:dyDescent="0.35">
      <c r="B48" s="41"/>
      <c r="C48" s="41"/>
      <c r="D48" s="41"/>
      <c r="E48" s="41"/>
      <c r="F48" s="41"/>
      <c r="G48" s="41"/>
      <c r="H48" s="41"/>
      <c r="I48" s="41"/>
      <c r="J48" s="41"/>
      <c r="K48" s="41"/>
      <c r="L48" s="41"/>
      <c r="M48" s="41"/>
    </row>
    <row r="49" spans="2:13" x14ac:dyDescent="0.35">
      <c r="B49" s="41"/>
      <c r="C49" s="41"/>
      <c r="D49" s="41"/>
      <c r="E49" s="41"/>
      <c r="F49" s="41"/>
      <c r="G49" s="41"/>
      <c r="H49" s="41"/>
      <c r="I49" s="41"/>
      <c r="J49" s="41"/>
      <c r="K49" s="41"/>
      <c r="L49" s="41"/>
      <c r="M49" s="41"/>
    </row>
    <row r="50" spans="2:13" x14ac:dyDescent="0.35">
      <c r="B50" s="41"/>
      <c r="C50" s="41"/>
      <c r="D50" s="41"/>
      <c r="E50" s="41"/>
      <c r="F50" s="41"/>
      <c r="G50" s="41"/>
      <c r="H50" s="41"/>
      <c r="I50" s="41"/>
      <c r="J50" s="41"/>
      <c r="K50" s="41"/>
      <c r="L50" s="41"/>
      <c r="M50" s="41"/>
    </row>
  </sheetData>
  <sheetProtection sheet="1" objects="1" scenarios="1"/>
  <mergeCells count="26">
    <mergeCell ref="B1:M1"/>
    <mergeCell ref="B2:M6"/>
    <mergeCell ref="C7:E7"/>
    <mergeCell ref="F7:L7"/>
    <mergeCell ref="C8:E8"/>
    <mergeCell ref="F8:L8"/>
    <mergeCell ref="C13:M15"/>
    <mergeCell ref="B13:B15"/>
    <mergeCell ref="B16:M18"/>
    <mergeCell ref="B7:B9"/>
    <mergeCell ref="M7:M9"/>
    <mergeCell ref="B10:M12"/>
    <mergeCell ref="C9:E9"/>
    <mergeCell ref="F9:L9"/>
    <mergeCell ref="B48:M50"/>
    <mergeCell ref="C19:M24"/>
    <mergeCell ref="B19:B24"/>
    <mergeCell ref="B25:M27"/>
    <mergeCell ref="C28:M33"/>
    <mergeCell ref="B28:B33"/>
    <mergeCell ref="B34:M36"/>
    <mergeCell ref="C37:M39"/>
    <mergeCell ref="B37:B39"/>
    <mergeCell ref="B40:M42"/>
    <mergeCell ref="C43:M47"/>
    <mergeCell ref="B43:B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WSM_Project</vt:lpstr>
      <vt:lpstr>WSM_Function</vt:lpstr>
      <vt:lpstr>NPV</vt:lpstr>
      <vt:lpstr>ROI</vt:lpstr>
      <vt:lpstr>Paypack</vt:lpstr>
      <vt:lpstr>KICK-OFF MEETING</vt:lpstr>
      <vt:lpstr>TEAM CONTRACT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2025-10-27T09:18:58Z</dcterms:created>
  <dcterms:modified xsi:type="dcterms:W3CDTF">2025-10-28T07:48:59Z</dcterms:modified>
</cp:coreProperties>
</file>