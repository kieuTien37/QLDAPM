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Hoc_tap\Hoctap2025\nam4\quanliduanphanmem\"/>
    </mc:Choice>
  </mc:AlternateContent>
  <xr:revisionPtr revIDLastSave="0" documentId="13_ncr:1_{9C777716-0A2B-4E8E-AC9A-9CDB7DC50D3C}" xr6:coauthVersionLast="47" xr6:coauthVersionMax="47" xr10:uidLastSave="{00000000-0000-0000-0000-000000000000}"/>
  <bookViews>
    <workbookView xWindow="-110" yWindow="-110" windowWidth="22620" windowHeight="13500" xr2:uid="{00000000-000D-0000-FFFF-FFFF00000000}"/>
  </bookViews>
  <sheets>
    <sheet name="WSM_Project" sheetId="1" r:id="rId1"/>
    <sheet name="WSM_Function" sheetId="2" r:id="rId2"/>
    <sheet name="NPV" sheetId="3" r:id="rId3"/>
    <sheet name="ROI" sheetId="4" r:id="rId4"/>
    <sheet name="Paypack" sheetId="5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D3" i="5" s="1"/>
  <c r="D4" i="5" s="1"/>
  <c r="D5" i="5" s="1"/>
  <c r="D6" i="5" s="1"/>
  <c r="B6" i="3"/>
  <c r="G4" i="3"/>
  <c r="E3" i="5"/>
  <c r="E4" i="5" s="1"/>
  <c r="E5" i="5" s="1"/>
  <c r="E6" i="5" s="1"/>
  <c r="C10" i="4"/>
  <c r="D10" i="4"/>
  <c r="E10" i="4"/>
  <c r="F10" i="4"/>
  <c r="B10" i="4"/>
  <c r="C6" i="4"/>
  <c r="D6" i="4"/>
  <c r="E6" i="4"/>
  <c r="F6" i="4"/>
  <c r="B6" i="4"/>
  <c r="C6" i="3"/>
  <c r="G5" i="3"/>
  <c r="H4" i="2"/>
  <c r="H5" i="2"/>
  <c r="H6" i="2"/>
  <c r="H7" i="2"/>
  <c r="H8" i="2"/>
  <c r="H9" i="2"/>
  <c r="H3" i="2"/>
  <c r="F4" i="2"/>
  <c r="F5" i="2"/>
  <c r="F6" i="2"/>
  <c r="F7" i="2"/>
  <c r="F8" i="2"/>
  <c r="F9" i="2"/>
  <c r="F3" i="2"/>
  <c r="B10" i="2"/>
  <c r="D10" i="2"/>
  <c r="D4" i="2"/>
  <c r="D5" i="2"/>
  <c r="D6" i="2"/>
  <c r="D7" i="2"/>
  <c r="D8" i="2"/>
  <c r="D9" i="2"/>
  <c r="D3" i="2"/>
  <c r="D4" i="1"/>
  <c r="D5" i="1"/>
  <c r="D6" i="1"/>
  <c r="D7" i="1"/>
  <c r="D8" i="1"/>
  <c r="D9" i="1"/>
  <c r="D3" i="1"/>
  <c r="C12" i="4" l="1"/>
  <c r="C13" i="4" s="1"/>
  <c r="D12" i="4"/>
  <c r="G10" i="4"/>
  <c r="F12" i="4"/>
  <c r="E12" i="4"/>
  <c r="G6" i="4"/>
  <c r="D6" i="3"/>
  <c r="H10" i="2"/>
  <c r="F10" i="2"/>
  <c r="D10" i="1"/>
  <c r="D13" i="4" l="1"/>
  <c r="E13" i="4" s="1"/>
  <c r="F13" i="4" s="1"/>
  <c r="G12" i="4" s="1"/>
  <c r="B15" i="4"/>
  <c r="E6" i="3"/>
  <c r="F6" i="3" s="1"/>
  <c r="B7" i="3"/>
  <c r="G6" i="3" l="1"/>
</calcChain>
</file>

<file path=xl/sharedStrings.xml><?xml version="1.0" encoding="utf-8"?>
<sst xmlns="http://schemas.openxmlformats.org/spreadsheetml/2006/main" count="63" uniqueCount="52">
  <si>
    <t>Mô hình trọng số - WSM (Dự án)</t>
  </si>
  <si>
    <t>Tiêu chí</t>
  </si>
  <si>
    <t>Trọng số (%)</t>
  </si>
  <si>
    <t>Điểm dự án</t>
  </si>
  <si>
    <t>Trọng số x điểm</t>
  </si>
  <si>
    <t>Tổng điểm WSM</t>
  </si>
  <si>
    <t>Mô hình trọng số - WSM (Chức năng)</t>
  </si>
  <si>
    <t>Năm</t>
  </si>
  <si>
    <t>Hệ số chiết khấu</t>
  </si>
  <si>
    <t>Lợi ích đã chiết khấu</t>
  </si>
  <si>
    <t>Tổng chi phí lũy kế</t>
  </si>
  <si>
    <t>Tổng lợi ích lũy kế</t>
  </si>
  <si>
    <t>TOTAL</t>
  </si>
  <si>
    <t>Tỷ lệ chiết khấu</t>
  </si>
  <si>
    <t>Lợi ích (VNĐ)</t>
  </si>
  <si>
    <t>Chi phí (VNĐ)</t>
  </si>
  <si>
    <t>Thời gian triển khai</t>
  </si>
  <si>
    <t>Mục tiêu, phạm vi, mục đích rõ ràng</t>
  </si>
  <si>
    <t>Tài liệu hỗ trợ, hướng dẫn</t>
  </si>
  <si>
    <t>Giao diện đơn giản, thân thiện</t>
  </si>
  <si>
    <t>Xác định công cụ, môi trường</t>
  </si>
  <si>
    <t>Hiệu quả, độ chính xác</t>
  </si>
  <si>
    <t>Rủi ro kỹ thuật và sai số thấp</t>
  </si>
  <si>
    <t>Mức độ cần thiết với người dùng</t>
  </si>
  <si>
    <t>Tác động tới độ chính xác, giá trị dự báo</t>
  </si>
  <si>
    <t>Khả năng triển khai nhanh</t>
  </si>
  <si>
    <t>Khả năng mở rộng thêm</t>
  </si>
  <si>
    <t>Tính thẩm mỹ/ giao diện</t>
  </si>
  <si>
    <t>Hiệu năng và tài nguyên cần thiết</t>
  </si>
  <si>
    <t>Báo cáo demo</t>
  </si>
  <si>
    <t>Tổng điểm WSM của Dự án</t>
  </si>
  <si>
    <t>Điểm F1</t>
  </si>
  <si>
    <t>Điểm F2</t>
  </si>
  <si>
    <t>Điểm F3</t>
  </si>
  <si>
    <t>F1 – Thu thập và xử lý dữ liệu</t>
  </si>
  <si>
    <t>F2 – Huấn luyện mô hình và đánh giá</t>
  </si>
  <si>
    <t>F3 – Dự báo và hiển thị ứng dụng</t>
  </si>
  <si>
    <t>Năm 1</t>
  </si>
  <si>
    <t>Năm 2</t>
  </si>
  <si>
    <t>Năm 3</t>
  </si>
  <si>
    <t>Năm 4</t>
  </si>
  <si>
    <t>NPV</t>
  </si>
  <si>
    <t>Lợi ích</t>
  </si>
  <si>
    <t>Chi phí</t>
  </si>
  <si>
    <t>Dòng tiền</t>
  </si>
  <si>
    <t>ROI</t>
  </si>
  <si>
    <t xml:space="preserve">Chi phí </t>
  </si>
  <si>
    <t xml:space="preserve">Chi phí đã chiết khấu </t>
  </si>
  <si>
    <t>Lợi ích trừ chi phí ( đã chiết khấu)</t>
  </si>
  <si>
    <t>Lợi ích lũy kế – chi phí lũy kế (đã chiết khấu)</t>
  </si>
  <si>
    <t>TỔNG</t>
  </si>
  <si>
    <t>Năm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</si>
</sst>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_([$VND]\ * #,##0.00_);_([$VND]\ * \(#,##0.00\);_([$VND]\ * &quot;-&quot;??_);_(@_)"/>
  </numFmts>
  <fonts count="7" x14ac:knownFonts="1">
    <font>
      <sz val="11"/>
      <color theme="1"/>
      <name val="Calibri"/>
      <family val="2"/>
      <scheme val="minor"/>
    </font>
    <font>
      <b/>
      <sz val="13"/>
      <name val="Calibri"/>
    </font>
    <font>
      <b/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3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/>
    <xf numFmtId="0" fontId="3" fillId="0" borderId="1" xfId="0" applyFont="1" applyBorder="1" applyAlignment="1">
      <alignment horizontal="center" vertical="top"/>
    </xf>
    <xf numFmtId="0" fontId="3" fillId="0" borderId="0" xfId="0" applyFont="1" applyBorder="1" applyAlignment="1">
      <alignment horizontal="center" vertical="top"/>
    </xf>
    <xf numFmtId="0" fontId="0" fillId="0" borderId="1" xfId="0" applyBorder="1"/>
    <xf numFmtId="0" fontId="2" fillId="0" borderId="1" xfId="0" applyFont="1" applyBorder="1"/>
    <xf numFmtId="8" fontId="0" fillId="0" borderId="0" xfId="0" applyNumberFormat="1"/>
    <xf numFmtId="0" fontId="2" fillId="0" borderId="3" xfId="0" applyFont="1" applyFill="1" applyBorder="1"/>
    <xf numFmtId="0" fontId="2" fillId="0" borderId="1" xfId="0" applyFont="1" applyFill="1" applyBorder="1"/>
    <xf numFmtId="164" fontId="0" fillId="0" borderId="2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2" fillId="0" borderId="0" xfId="0" applyFont="1"/>
    <xf numFmtId="0" fontId="4" fillId="0" borderId="1" xfId="0" applyFont="1" applyBorder="1"/>
    <xf numFmtId="0" fontId="4" fillId="0" borderId="5" xfId="0" applyFont="1" applyBorder="1"/>
    <xf numFmtId="0" fontId="0" fillId="0" borderId="3" xfId="0" applyFill="1" applyBorder="1"/>
    <xf numFmtId="3" fontId="0" fillId="0" borderId="0" xfId="0" applyNumberFormat="1"/>
    <xf numFmtId="0" fontId="5" fillId="0" borderId="1" xfId="0" applyFont="1" applyBorder="1"/>
    <xf numFmtId="0" fontId="6" fillId="0" borderId="1" xfId="0" applyFont="1" applyBorder="1"/>
    <xf numFmtId="0" fontId="6" fillId="0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aseline="0"/>
              <a:t>BIỂU ĐỒ MÔ HÌNH TRỌNG SỐ - </a:t>
            </a:r>
            <a:r>
              <a:rPr lang="en-US"/>
              <a:t>WSM</a:t>
            </a:r>
            <a:r>
              <a:rPr lang="en-US" baseline="0"/>
              <a:t> (Dự án)</a:t>
            </a:r>
            <a:endParaRPr lang="en-US"/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WSM_Project!$A$10</c15:sqref>
                  </c15:fullRef>
                </c:ext>
              </c:extLst>
              <c:f>WSM_Project!$A$10</c:f>
              <c:strCache>
                <c:ptCount val="1"/>
                <c:pt idx="0">
                  <c:v>Tổng điểm WSM của Dự án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WSM_Project!$D$10</c15:sqref>
                  </c15:fullRef>
                </c:ext>
              </c:extLst>
              <c:f>WSM_Project!$D$10</c:f>
              <c:numCache>
                <c:formatCode>General</c:formatCode>
                <c:ptCount val="1"/>
                <c:pt idx="0">
                  <c:v>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6F-4023-906B-4B8038DCEDD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  <c:max val="100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Biểu đồ WSM - Chức năng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WSM_Function!$C$2:$H$2</c15:sqref>
                  </c15:fullRef>
                </c:ext>
              </c:extLst>
              <c:f>(WSM_Function!$C$2,WSM_Function!$E$2,WSM_Function!$G$2:$H$2)</c:f>
              <c:strCache>
                <c:ptCount val="4"/>
                <c:pt idx="0">
                  <c:v>F1 – Thu thập và xử lý dữ liệu</c:v>
                </c:pt>
                <c:pt idx="1">
                  <c:v>F2 – Huấn luyện mô hình và đánh giá</c:v>
                </c:pt>
                <c:pt idx="2">
                  <c:v>F3 – Dự báo và hiển thị ứng dụng</c:v>
                </c:pt>
                <c:pt idx="3">
                  <c:v>Điểm F3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WSM_Function!$D$10:$H$10</c15:sqref>
                  </c15:fullRef>
                </c:ext>
              </c:extLst>
              <c:f>(WSM_Function!$D$10,WSM_Function!$F$10,WSM_Function!$H$10)</c:f>
              <c:numCache>
                <c:formatCode>General</c:formatCode>
                <c:ptCount val="3"/>
                <c:pt idx="0">
                  <c:v>86.5</c:v>
                </c:pt>
                <c:pt idx="1">
                  <c:v>86</c:v>
                </c:pt>
                <c:pt idx="2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1E-496E-90C9-A86DD5BB66D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Payback - Cumulative Costs vs Benefits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46346276217777"/>
          <c:y val="6.9112310640558172E-2"/>
          <c:w val="0.66184806063479529"/>
          <c:h val="0.83647732658527019"/>
        </c:manualLayout>
      </c:layout>
      <c:lineChart>
        <c:grouping val="standard"/>
        <c:varyColors val="0"/>
        <c:ser>
          <c:idx val="0"/>
          <c:order val="0"/>
          <c:tx>
            <c:v>Tổng chi phí lũy kế</c:v>
          </c:tx>
          <c:spPr>
            <a:ln>
              <a:prstDash val="solid"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Paypack!$A$2:$A$6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cat>
          <c:val>
            <c:numRef>
              <c:f>Paypack!$D$2:$D$6</c:f>
              <c:numCache>
                <c:formatCode>General</c:formatCode>
                <c:ptCount val="5"/>
                <c:pt idx="0">
                  <c:v>50000</c:v>
                </c:pt>
                <c:pt idx="1">
                  <c:v>95500</c:v>
                </c:pt>
                <c:pt idx="2">
                  <c:v>137000</c:v>
                </c:pt>
                <c:pt idx="3">
                  <c:v>174500</c:v>
                </c:pt>
                <c:pt idx="4">
                  <c:v>208500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D5-4447-8293-9E2262A06DDC}"/>
            </c:ext>
          </c:extLst>
        </c:ser>
        <c:ser>
          <c:idx val="1"/>
          <c:order val="1"/>
          <c:tx>
            <c:v>Tổng chi phí lũy kế</c:v>
          </c:tx>
          <c:spPr>
            <a:ln>
              <a:prstDash val="solid"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Paypack!$A$2:$A$6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cat>
          <c:val>
            <c:numRef>
              <c:f>Paypack!$E$2:$E$6</c:f>
              <c:numCache>
                <c:formatCode>General</c:formatCode>
                <c:ptCount val="5"/>
                <c:pt idx="0">
                  <c:v>0</c:v>
                </c:pt>
                <c:pt idx="1">
                  <c:v>182000</c:v>
                </c:pt>
                <c:pt idx="2">
                  <c:v>348000</c:v>
                </c:pt>
                <c:pt idx="3">
                  <c:v>498000</c:v>
                </c:pt>
                <c:pt idx="4">
                  <c:v>634000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D5-4447-8293-9E2262A06DD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Năm</a:t>
                </a:r>
              </a:p>
            </c:rich>
          </c:tx>
          <c:overlay val="0"/>
        </c:title>
        <c:numFmt formatCode="General" sourceLinked="1"/>
        <c:majorTickMark val="in"/>
        <c:minorTickMark val="in"/>
        <c:tickLblPos val="nextTo"/>
        <c:spPr>
          <a:ln/>
        </c:spPr>
        <c:crossAx val="100"/>
        <c:crossesAt val="0"/>
        <c:auto val="0"/>
        <c:lblOffset val="100"/>
        <c:baseTimeUnit val="days"/>
      </c:date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c:rich>
          </c:tx>
          <c:layout>
            <c:manualLayout>
              <c:xMode val="edge"/>
              <c:yMode val="edge"/>
              <c:x val="2.2661419439221082E-2"/>
              <c:y val="0.46259912112091078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0"/>
        <c:crosses val="autoZero"/>
        <c:crossBetween val="midCat"/>
        <c:majorUnit val="5000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403860</xdr:colOff>
      <xdr:row>12</xdr:row>
      <xdr:rowOff>30480</xdr:rowOff>
    </xdr:from>
    <xdr:ext cx="6036854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830580</xdr:colOff>
      <xdr:row>11</xdr:row>
      <xdr:rowOff>106680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44824</xdr:colOff>
      <xdr:row>0</xdr:row>
      <xdr:rowOff>0</xdr:rowOff>
    </xdr:from>
    <xdr:ext cx="8404412" cy="6417887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221DED-E8D2-457F-BDAD-5AC200A667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istrator\Downloads\Lab9_NPV_ROI_Payback_TiengVi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PV"/>
      <sheetName val="ROI"/>
      <sheetName val="Payback"/>
    </sheetNames>
    <sheetDataSet>
      <sheetData sheetId="0">
        <row r="2">
          <cell r="B2" t="str">
            <v>YEAR 1</v>
          </cell>
          <cell r="C2" t="str">
            <v>YEAR 2</v>
          </cell>
          <cell r="D2" t="str">
            <v>YEAR 3</v>
          </cell>
          <cell r="E2" t="str">
            <v>YEAR 4</v>
          </cell>
          <cell r="F2" t="str">
            <v>YEAR 5</v>
          </cell>
        </row>
        <row r="6">
          <cell r="B6">
            <v>0</v>
          </cell>
          <cell r="C6">
            <v>12396000</v>
          </cell>
          <cell r="D6">
            <v>15026000</v>
          </cell>
          <cell r="E6">
            <v>17075000</v>
          </cell>
          <cell r="F6">
            <v>18627000</v>
          </cell>
        </row>
        <row r="7">
          <cell r="B7">
            <v>27273000</v>
          </cell>
          <cell r="C7">
            <v>8264000</v>
          </cell>
          <cell r="D7">
            <v>6010400</v>
          </cell>
          <cell r="E7">
            <v>5464000</v>
          </cell>
          <cell r="F7">
            <v>4967200</v>
          </cell>
        </row>
      </sheetData>
      <sheetData sheetId="1">
        <row r="2">
          <cell r="B2" t="str">
            <v>YEAR 1</v>
          </cell>
          <cell r="C2" t="str">
            <v>YEAR 2</v>
          </cell>
          <cell r="D2" t="str">
            <v>YEAR 3</v>
          </cell>
          <cell r="E2" t="str">
            <v>YEAR 4</v>
          </cell>
          <cell r="F2" t="str">
            <v>YEAR 5</v>
          </cell>
        </row>
        <row r="6">
          <cell r="B6">
            <v>27273000</v>
          </cell>
          <cell r="C6">
            <v>35537000</v>
          </cell>
          <cell r="D6">
            <v>41547400</v>
          </cell>
          <cell r="E6">
            <v>47011400</v>
          </cell>
          <cell r="F6">
            <v>51978600</v>
          </cell>
        </row>
        <row r="7">
          <cell r="B7">
            <v>0</v>
          </cell>
          <cell r="C7">
            <v>12396000</v>
          </cell>
          <cell r="D7">
            <v>27422000</v>
          </cell>
          <cell r="E7">
            <v>44497000</v>
          </cell>
          <cell r="F7">
            <v>63124000</v>
          </cell>
        </row>
      </sheetData>
      <sheetData sheetId="2">
        <row r="1">
          <cell r="D1" t="str">
            <v>Tổng chi phí lũy kế</v>
          </cell>
          <cell r="E1" t="str">
            <v>Tổng lợi ích lũy kế</v>
          </cell>
        </row>
        <row r="2">
          <cell r="A2">
            <v>0</v>
          </cell>
          <cell r="D2">
            <v>140000</v>
          </cell>
          <cell r="E2">
            <v>0</v>
          </cell>
        </row>
        <row r="3">
          <cell r="A3">
            <v>1</v>
          </cell>
          <cell r="D3">
            <v>140000</v>
          </cell>
          <cell r="E3">
            <v>172000</v>
          </cell>
        </row>
        <row r="4">
          <cell r="A4">
            <v>2</v>
          </cell>
          <cell r="D4">
            <v>140000</v>
          </cell>
          <cell r="E4">
            <v>415500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tabSelected="1" zoomScale="70" zoomScaleNormal="70" workbookViewId="0">
      <selection activeCell="C35" sqref="C35"/>
    </sheetView>
  </sheetViews>
  <sheetFormatPr defaultRowHeight="14.5" x14ac:dyDescent="0.35"/>
  <cols>
    <col min="1" max="1" width="58.6328125" customWidth="1"/>
    <col min="2" max="2" width="24.90625" customWidth="1"/>
    <col min="3" max="3" width="24" customWidth="1"/>
    <col min="4" max="4" width="25.54296875" customWidth="1"/>
  </cols>
  <sheetData>
    <row r="1" spans="1:4" ht="17" x14ac:dyDescent="0.4">
      <c r="A1" s="2" t="s">
        <v>0</v>
      </c>
      <c r="B1" s="3"/>
      <c r="C1" s="3"/>
      <c r="D1" s="3"/>
    </row>
    <row r="2" spans="1:4" x14ac:dyDescent="0.35">
      <c r="A2" s="7" t="s">
        <v>1</v>
      </c>
      <c r="B2" s="7" t="s">
        <v>2</v>
      </c>
      <c r="C2" s="7" t="s">
        <v>3</v>
      </c>
      <c r="D2" s="7" t="s">
        <v>4</v>
      </c>
    </row>
    <row r="3" spans="1:4" x14ac:dyDescent="0.35">
      <c r="A3" s="6" t="s">
        <v>17</v>
      </c>
      <c r="B3" s="6">
        <v>25</v>
      </c>
      <c r="C3" s="6">
        <v>90</v>
      </c>
      <c r="D3" s="6">
        <f>B3%*C3</f>
        <v>22.5</v>
      </c>
    </row>
    <row r="4" spans="1:4" x14ac:dyDescent="0.35">
      <c r="A4" s="6" t="s">
        <v>18</v>
      </c>
      <c r="B4" s="6">
        <v>15</v>
      </c>
      <c r="C4" s="6">
        <v>70</v>
      </c>
      <c r="D4" s="6">
        <f t="shared" ref="D4:D9" si="0">B4%*C4</f>
        <v>10.5</v>
      </c>
    </row>
    <row r="5" spans="1:4" x14ac:dyDescent="0.35">
      <c r="A5" s="6" t="s">
        <v>19</v>
      </c>
      <c r="B5" s="6">
        <v>15</v>
      </c>
      <c r="C5" s="6">
        <v>90</v>
      </c>
      <c r="D5" s="6">
        <f t="shared" si="0"/>
        <v>13.5</v>
      </c>
    </row>
    <row r="6" spans="1:4" x14ac:dyDescent="0.35">
      <c r="A6" s="6" t="s">
        <v>20</v>
      </c>
      <c r="B6" s="6">
        <v>10</v>
      </c>
      <c r="C6" s="6">
        <v>80</v>
      </c>
      <c r="D6" s="6">
        <f t="shared" si="0"/>
        <v>8</v>
      </c>
    </row>
    <row r="7" spans="1:4" x14ac:dyDescent="0.35">
      <c r="A7" s="6" t="s">
        <v>16</v>
      </c>
      <c r="B7" s="6">
        <v>5</v>
      </c>
      <c r="C7" s="6">
        <v>90</v>
      </c>
      <c r="D7" s="6">
        <f t="shared" si="0"/>
        <v>4.5</v>
      </c>
    </row>
    <row r="8" spans="1:4" x14ac:dyDescent="0.35">
      <c r="A8" s="6" t="s">
        <v>21</v>
      </c>
      <c r="B8" s="6">
        <v>20</v>
      </c>
      <c r="C8" s="6">
        <v>80</v>
      </c>
      <c r="D8" s="6">
        <f t="shared" si="0"/>
        <v>16</v>
      </c>
    </row>
    <row r="9" spans="1:4" x14ac:dyDescent="0.35">
      <c r="A9" s="6" t="s">
        <v>22</v>
      </c>
      <c r="B9" s="6">
        <v>10</v>
      </c>
      <c r="C9" s="6">
        <v>70</v>
      </c>
      <c r="D9" s="6">
        <f t="shared" si="0"/>
        <v>7</v>
      </c>
    </row>
    <row r="10" spans="1:4" x14ac:dyDescent="0.35">
      <c r="A10" s="6" t="s">
        <v>30</v>
      </c>
      <c r="B10" s="6">
        <v>100</v>
      </c>
      <c r="C10" s="6"/>
      <c r="D10" s="6">
        <f>SUM(D3:D9)</f>
        <v>82</v>
      </c>
    </row>
  </sheetData>
  <mergeCells count="1">
    <mergeCell ref="A1:D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"/>
  <sheetViews>
    <sheetView workbookViewId="0">
      <selection activeCell="E18" sqref="E18"/>
    </sheetView>
  </sheetViews>
  <sheetFormatPr defaultRowHeight="14.5" x14ac:dyDescent="0.35"/>
  <cols>
    <col min="1" max="1" width="58.08984375" customWidth="1"/>
    <col min="2" max="2" width="16" customWidth="1"/>
    <col min="3" max="3" width="25.6328125" bestFit="1" customWidth="1"/>
    <col min="4" max="4" width="14.36328125" customWidth="1"/>
    <col min="5" max="5" width="31.90625" bestFit="1" customWidth="1"/>
    <col min="6" max="6" width="7.54296875" bestFit="1" customWidth="1"/>
    <col min="7" max="7" width="20.08984375" bestFit="1" customWidth="1"/>
    <col min="9" max="9" width="15.6328125" bestFit="1" customWidth="1"/>
  </cols>
  <sheetData>
    <row r="1" spans="1:14" ht="17" x14ac:dyDescent="0.4">
      <c r="A1" s="2" t="s">
        <v>6</v>
      </c>
      <c r="B1" s="3"/>
      <c r="C1" s="3"/>
      <c r="D1" s="3"/>
    </row>
    <row r="2" spans="1:14" x14ac:dyDescent="0.35">
      <c r="A2" s="7" t="s">
        <v>1</v>
      </c>
      <c r="B2" s="7" t="s">
        <v>2</v>
      </c>
      <c r="C2" s="4" t="s">
        <v>34</v>
      </c>
      <c r="D2" s="4" t="s">
        <v>31</v>
      </c>
      <c r="E2" s="4" t="s">
        <v>35</v>
      </c>
      <c r="F2" s="4" t="s">
        <v>32</v>
      </c>
      <c r="G2" s="4" t="s">
        <v>36</v>
      </c>
      <c r="H2" s="4" t="s">
        <v>33</v>
      </c>
      <c r="I2" s="5"/>
      <c r="J2" s="5"/>
      <c r="K2" s="5"/>
      <c r="L2" s="5"/>
      <c r="M2" s="5"/>
      <c r="N2" s="5"/>
    </row>
    <row r="3" spans="1:14" x14ac:dyDescent="0.35">
      <c r="A3" s="6" t="s">
        <v>23</v>
      </c>
      <c r="B3" s="6">
        <v>25</v>
      </c>
      <c r="C3" s="6">
        <v>90</v>
      </c>
      <c r="D3" s="6">
        <f xml:space="preserve"> B3% * C3</f>
        <v>22.5</v>
      </c>
      <c r="E3" s="6">
        <v>80</v>
      </c>
      <c r="F3" s="6">
        <f xml:space="preserve"> B3% *E3</f>
        <v>20</v>
      </c>
      <c r="G3" s="6">
        <v>80</v>
      </c>
      <c r="H3" s="6">
        <f>B3% * G3</f>
        <v>20</v>
      </c>
      <c r="I3" s="1"/>
      <c r="K3" s="1"/>
      <c r="M3" s="1"/>
    </row>
    <row r="4" spans="1:14" x14ac:dyDescent="0.35">
      <c r="A4" s="6" t="s">
        <v>24</v>
      </c>
      <c r="B4" s="6">
        <v>20</v>
      </c>
      <c r="C4" s="6">
        <v>80</v>
      </c>
      <c r="D4" s="6">
        <f t="shared" ref="D4:D9" si="0" xml:space="preserve"> B4% * C4</f>
        <v>16</v>
      </c>
      <c r="E4" s="6">
        <v>80</v>
      </c>
      <c r="F4" s="6">
        <f t="shared" ref="F4:F9" si="1" xml:space="preserve"> B4% *E4</f>
        <v>16</v>
      </c>
      <c r="G4" s="6">
        <v>90</v>
      </c>
      <c r="H4" s="6">
        <f t="shared" ref="H4:H9" si="2">B4% * G4</f>
        <v>18</v>
      </c>
      <c r="I4" s="1"/>
      <c r="J4" s="1"/>
      <c r="K4" s="1"/>
      <c r="L4" s="1"/>
      <c r="M4" s="1"/>
      <c r="N4" s="1"/>
    </row>
    <row r="5" spans="1:14" x14ac:dyDescent="0.35">
      <c r="A5" s="6" t="s">
        <v>25</v>
      </c>
      <c r="B5" s="6">
        <v>15</v>
      </c>
      <c r="C5" s="6">
        <v>80</v>
      </c>
      <c r="D5" s="6">
        <f t="shared" si="0"/>
        <v>12</v>
      </c>
      <c r="E5" s="6">
        <v>100</v>
      </c>
      <c r="F5" s="6">
        <f t="shared" si="1"/>
        <v>15</v>
      </c>
      <c r="G5" s="6">
        <v>100</v>
      </c>
      <c r="H5" s="6">
        <f t="shared" si="2"/>
        <v>15</v>
      </c>
      <c r="I5" s="1"/>
      <c r="J5" s="1"/>
      <c r="K5" s="1"/>
      <c r="L5" s="1"/>
      <c r="M5" s="1"/>
      <c r="N5" s="1"/>
    </row>
    <row r="6" spans="1:14" x14ac:dyDescent="0.35">
      <c r="A6" s="6" t="s">
        <v>26</v>
      </c>
      <c r="B6" s="6">
        <v>10</v>
      </c>
      <c r="C6" s="6">
        <v>90</v>
      </c>
      <c r="D6" s="6">
        <f t="shared" si="0"/>
        <v>9</v>
      </c>
      <c r="E6" s="6">
        <v>90</v>
      </c>
      <c r="F6" s="6">
        <f t="shared" si="1"/>
        <v>9</v>
      </c>
      <c r="G6" s="6">
        <v>90</v>
      </c>
      <c r="H6" s="6">
        <f t="shared" si="2"/>
        <v>9</v>
      </c>
      <c r="I6" s="1"/>
      <c r="J6" s="1"/>
      <c r="K6" s="1"/>
      <c r="L6" s="1"/>
      <c r="M6" s="1"/>
      <c r="N6" s="1"/>
    </row>
    <row r="7" spans="1:14" x14ac:dyDescent="0.35">
      <c r="A7" s="6" t="s">
        <v>27</v>
      </c>
      <c r="B7" s="6">
        <v>10</v>
      </c>
      <c r="C7" s="6">
        <v>100</v>
      </c>
      <c r="D7" s="6">
        <f t="shared" si="0"/>
        <v>10</v>
      </c>
      <c r="E7" s="6">
        <v>100</v>
      </c>
      <c r="F7" s="6">
        <f t="shared" si="1"/>
        <v>10</v>
      </c>
      <c r="G7" s="6">
        <v>100</v>
      </c>
      <c r="H7" s="6">
        <f t="shared" si="2"/>
        <v>10</v>
      </c>
      <c r="I7" s="1"/>
      <c r="J7" s="1"/>
      <c r="K7" s="1"/>
      <c r="L7" s="1"/>
      <c r="M7" s="1"/>
      <c r="N7" s="1"/>
    </row>
    <row r="8" spans="1:14" x14ac:dyDescent="0.35">
      <c r="A8" s="6" t="s">
        <v>28</v>
      </c>
      <c r="B8" s="6">
        <v>10</v>
      </c>
      <c r="C8" s="6">
        <v>80</v>
      </c>
      <c r="D8" s="6">
        <f t="shared" si="0"/>
        <v>8</v>
      </c>
      <c r="E8" s="6">
        <v>80</v>
      </c>
      <c r="F8" s="6">
        <f t="shared" si="1"/>
        <v>8</v>
      </c>
      <c r="G8" s="6">
        <v>70</v>
      </c>
      <c r="H8" s="6">
        <f t="shared" si="2"/>
        <v>7</v>
      </c>
      <c r="I8" s="1"/>
      <c r="J8" s="1"/>
      <c r="K8" s="1"/>
      <c r="L8" s="1"/>
      <c r="M8" s="1"/>
      <c r="N8" s="1"/>
    </row>
    <row r="9" spans="1:14" x14ac:dyDescent="0.35">
      <c r="A9" s="6" t="s">
        <v>29</v>
      </c>
      <c r="B9" s="6">
        <v>10</v>
      </c>
      <c r="C9" s="6">
        <v>90</v>
      </c>
      <c r="D9" s="6">
        <f t="shared" si="0"/>
        <v>9</v>
      </c>
      <c r="E9" s="6">
        <v>80</v>
      </c>
      <c r="F9" s="6">
        <f t="shared" si="1"/>
        <v>8</v>
      </c>
      <c r="G9" s="6">
        <v>90</v>
      </c>
      <c r="H9" s="6">
        <f t="shared" si="2"/>
        <v>9</v>
      </c>
      <c r="I9" s="1"/>
      <c r="J9" s="1"/>
      <c r="K9" s="1"/>
      <c r="L9" s="1"/>
      <c r="M9" s="1"/>
      <c r="N9" s="1"/>
    </row>
    <row r="10" spans="1:14" x14ac:dyDescent="0.35">
      <c r="A10" s="6" t="s">
        <v>5</v>
      </c>
      <c r="B10" s="6">
        <f xml:space="preserve"> SUM(B3:B9)</f>
        <v>100</v>
      </c>
      <c r="C10" s="6"/>
      <c r="D10" s="6">
        <f xml:space="preserve"> SUM(D3:D9)</f>
        <v>86.5</v>
      </c>
      <c r="E10" s="6"/>
      <c r="F10" s="6">
        <f t="shared" ref="E10:N10" si="3" xml:space="preserve"> SUM(F3:F9)</f>
        <v>86</v>
      </c>
      <c r="G10" s="6"/>
      <c r="H10" s="6">
        <f t="shared" si="3"/>
        <v>88</v>
      </c>
      <c r="I10" s="1"/>
      <c r="J10" s="1"/>
      <c r="K10" s="1"/>
      <c r="L10" s="1"/>
      <c r="M10" s="1"/>
      <c r="N10" s="1"/>
    </row>
  </sheetData>
  <sheetProtection sheet="1" objects="1" scenarios="1"/>
  <mergeCells count="1">
    <mergeCell ref="A1:D1"/>
  </mergeCells>
  <pageMargins left="0.75" right="0.75" top="1" bottom="1" header="0.5" footer="0.5"/>
  <pageSetup paperSize="0" orientation="portrait" horizontalDpi="0" verticalDpi="0" copie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"/>
  <sheetViews>
    <sheetView workbookViewId="0">
      <selection activeCell="F11" sqref="F11"/>
    </sheetView>
  </sheetViews>
  <sheetFormatPr defaultRowHeight="14.5" x14ac:dyDescent="0.35"/>
  <cols>
    <col min="1" max="1" width="25.90625" bestFit="1" customWidth="1"/>
    <col min="2" max="2" width="16.7265625" bestFit="1" customWidth="1"/>
    <col min="3" max="4" width="8.81640625" bestFit="1" customWidth="1"/>
  </cols>
  <sheetData>
    <row r="1" spans="1:7" s="1" customFormat="1" x14ac:dyDescent="0.35">
      <c r="A1" s="7" t="s">
        <v>13</v>
      </c>
      <c r="B1" s="7">
        <v>0.1</v>
      </c>
    </row>
    <row r="3" spans="1:7" x14ac:dyDescent="0.35">
      <c r="A3" s="6"/>
      <c r="B3" s="7" t="s">
        <v>51</v>
      </c>
      <c r="C3" s="7" t="s">
        <v>37</v>
      </c>
      <c r="D3" s="7" t="s">
        <v>38</v>
      </c>
      <c r="E3" s="7" t="s">
        <v>39</v>
      </c>
      <c r="F3" s="7" t="s">
        <v>40</v>
      </c>
      <c r="G3" s="7" t="s">
        <v>12</v>
      </c>
    </row>
    <row r="4" spans="1:7" x14ac:dyDescent="0.35">
      <c r="A4" s="7" t="s">
        <v>42</v>
      </c>
      <c r="B4" s="6">
        <v>0</v>
      </c>
      <c r="C4" s="6">
        <v>100000</v>
      </c>
      <c r="D4" s="6">
        <v>200000</v>
      </c>
      <c r="E4" s="6">
        <v>300000</v>
      </c>
      <c r="F4" s="6">
        <v>400000</v>
      </c>
      <c r="G4" s="6">
        <f xml:space="preserve"> SUM(B4:F4)</f>
        <v>1000000</v>
      </c>
    </row>
    <row r="5" spans="1:7" x14ac:dyDescent="0.35">
      <c r="A5" s="7" t="s">
        <v>43</v>
      </c>
      <c r="B5" s="6">
        <v>50000</v>
      </c>
      <c r="C5" s="6">
        <v>50000</v>
      </c>
      <c r="D5" s="6">
        <v>50000</v>
      </c>
      <c r="E5" s="6">
        <v>50000</v>
      </c>
      <c r="F5" s="6">
        <v>50000</v>
      </c>
      <c r="G5" s="6">
        <f xml:space="preserve"> SUM(B5:F5)</f>
        <v>250000</v>
      </c>
    </row>
    <row r="6" spans="1:7" x14ac:dyDescent="0.35">
      <c r="A6" s="7" t="s">
        <v>44</v>
      </c>
      <c r="B6" s="6">
        <f>- B5</f>
        <v>-50000</v>
      </c>
      <c r="C6" s="6">
        <f xml:space="preserve"> C5</f>
        <v>50000</v>
      </c>
      <c r="D6" s="6">
        <f t="shared" ref="D6:F6" si="0">C6 + D5</f>
        <v>100000</v>
      </c>
      <c r="E6" s="6">
        <f t="shared" si="0"/>
        <v>150000</v>
      </c>
      <c r="F6" s="6">
        <f t="shared" si="0"/>
        <v>200000</v>
      </c>
      <c r="G6" s="6">
        <f t="shared" ref="G5:G6" si="1" xml:space="preserve"> SUM(B6:F6)</f>
        <v>450000</v>
      </c>
    </row>
    <row r="7" spans="1:7" x14ac:dyDescent="0.35">
      <c r="A7" s="10" t="s">
        <v>41</v>
      </c>
      <c r="B7" s="11">
        <f>NPV(B1,B6:F6)</f>
        <v>297635.53160179057</v>
      </c>
      <c r="C7" s="12"/>
      <c r="D7" s="12"/>
      <c r="E7" s="12"/>
      <c r="F7" s="12"/>
      <c r="G7" s="13"/>
    </row>
  </sheetData>
  <sheetProtection sheet="1" objects="1" scenarios="1"/>
  <mergeCells count="1">
    <mergeCell ref="B7:G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8059F-3BE9-41AA-AA33-8B712EABD569}">
  <dimension ref="A1:G18"/>
  <sheetViews>
    <sheetView zoomScale="96" zoomScaleNormal="100" workbookViewId="0">
      <selection activeCell="B4" sqref="B4"/>
    </sheetView>
  </sheetViews>
  <sheetFormatPr defaultRowHeight="14.5" x14ac:dyDescent="0.35"/>
  <cols>
    <col min="1" max="1" width="38" bestFit="1" customWidth="1"/>
    <col min="2" max="2" width="8.81640625" bestFit="1" customWidth="1"/>
    <col min="5" max="5" width="9.1796875" bestFit="1" customWidth="1"/>
    <col min="6" max="6" width="11.453125" bestFit="1" customWidth="1"/>
    <col min="7" max="7" width="14" bestFit="1" customWidth="1"/>
  </cols>
  <sheetData>
    <row r="1" spans="1:7" s="1" customFormat="1" x14ac:dyDescent="0.35">
      <c r="A1" s="14" t="s">
        <v>13</v>
      </c>
      <c r="B1" s="14">
        <v>0.1</v>
      </c>
    </row>
    <row r="2" spans="1:7" x14ac:dyDescent="0.35">
      <c r="A2" s="14"/>
    </row>
    <row r="3" spans="1:7" x14ac:dyDescent="0.35">
      <c r="A3" s="7" t="s">
        <v>7</v>
      </c>
      <c r="B3" s="7" t="s">
        <v>51</v>
      </c>
      <c r="C3" s="7" t="s">
        <v>37</v>
      </c>
      <c r="D3" s="7" t="s">
        <v>38</v>
      </c>
      <c r="E3" s="7" t="s">
        <v>39</v>
      </c>
      <c r="F3" s="7" t="s">
        <v>40</v>
      </c>
      <c r="G3" s="9" t="s">
        <v>50</v>
      </c>
    </row>
    <row r="4" spans="1:7" x14ac:dyDescent="0.35">
      <c r="A4" s="7" t="s">
        <v>46</v>
      </c>
      <c r="B4" s="6">
        <v>50000</v>
      </c>
      <c r="C4" s="6">
        <v>50000</v>
      </c>
      <c r="D4" s="6">
        <v>50000</v>
      </c>
      <c r="E4" s="6">
        <v>50000</v>
      </c>
      <c r="F4" s="6">
        <v>50000</v>
      </c>
    </row>
    <row r="5" spans="1:7" x14ac:dyDescent="0.35">
      <c r="A5" s="7" t="s">
        <v>8</v>
      </c>
      <c r="B5" s="15">
        <v>1</v>
      </c>
      <c r="C5" s="16">
        <v>0.91</v>
      </c>
      <c r="D5" s="16">
        <v>0.83</v>
      </c>
      <c r="E5" s="16">
        <v>0.75</v>
      </c>
      <c r="F5" s="16">
        <v>0.68</v>
      </c>
    </row>
    <row r="6" spans="1:7" x14ac:dyDescent="0.35">
      <c r="A6" s="7" t="s">
        <v>47</v>
      </c>
      <c r="B6" s="6">
        <f>B4*B5</f>
        <v>50000</v>
      </c>
      <c r="C6" s="6">
        <f t="shared" ref="C6:F8" si="0">C4*C5</f>
        <v>45500</v>
      </c>
      <c r="D6" s="6">
        <f t="shared" si="0"/>
        <v>41500</v>
      </c>
      <c r="E6" s="6">
        <f t="shared" si="0"/>
        <v>37500</v>
      </c>
      <c r="F6" s="6">
        <f t="shared" si="0"/>
        <v>34000</v>
      </c>
      <c r="G6" s="17">
        <f>SUM(B6:F6)</f>
        <v>208500</v>
      </c>
    </row>
    <row r="7" spans="1:7" x14ac:dyDescent="0.35">
      <c r="A7" s="14"/>
      <c r="G7" s="17"/>
    </row>
    <row r="8" spans="1:7" x14ac:dyDescent="0.35">
      <c r="A8" s="7" t="s">
        <v>42</v>
      </c>
      <c r="B8" s="6">
        <v>0</v>
      </c>
      <c r="C8" s="6">
        <v>200000</v>
      </c>
      <c r="D8" s="6">
        <v>200000</v>
      </c>
      <c r="E8" s="6">
        <v>200000</v>
      </c>
      <c r="F8" s="6">
        <v>200000</v>
      </c>
      <c r="G8" s="17"/>
    </row>
    <row r="9" spans="1:7" x14ac:dyDescent="0.35">
      <c r="A9" s="7" t="s">
        <v>8</v>
      </c>
      <c r="B9" s="15">
        <v>1</v>
      </c>
      <c r="C9" s="16">
        <v>0.91</v>
      </c>
      <c r="D9" s="16">
        <v>0.83</v>
      </c>
      <c r="E9" s="16">
        <v>0.75</v>
      </c>
      <c r="F9" s="16">
        <v>0.68</v>
      </c>
      <c r="G9" s="17"/>
    </row>
    <row r="10" spans="1:7" x14ac:dyDescent="0.35">
      <c r="A10" s="7" t="s">
        <v>9</v>
      </c>
      <c r="B10" s="6">
        <f>B8*B9</f>
        <v>0</v>
      </c>
      <c r="C10" s="6">
        <f t="shared" ref="C10:F10" si="1">C8*C9</f>
        <v>182000</v>
      </c>
      <c r="D10" s="6">
        <f t="shared" si="1"/>
        <v>166000</v>
      </c>
      <c r="E10" s="6">
        <f t="shared" si="1"/>
        <v>150000</v>
      </c>
      <c r="F10" s="6">
        <f t="shared" si="1"/>
        <v>136000</v>
      </c>
      <c r="G10" s="17">
        <f t="shared" ref="G7:G13" si="2">SUM(B10:F10)</f>
        <v>634000</v>
      </c>
    </row>
    <row r="11" spans="1:7" s="1" customFormat="1" x14ac:dyDescent="0.35">
      <c r="A11" s="14"/>
      <c r="G11" s="17"/>
    </row>
    <row r="12" spans="1:7" x14ac:dyDescent="0.35">
      <c r="A12" s="7" t="s">
        <v>48</v>
      </c>
      <c r="B12" s="6">
        <v>50000</v>
      </c>
      <c r="C12" s="6">
        <f>C10-C6</f>
        <v>136500</v>
      </c>
      <c r="D12" s="6">
        <f t="shared" ref="D12:F12" si="3">D10-D6</f>
        <v>124500</v>
      </c>
      <c r="E12" s="6">
        <f t="shared" si="3"/>
        <v>112500</v>
      </c>
      <c r="F12" s="6">
        <f t="shared" si="3"/>
        <v>102000</v>
      </c>
      <c r="G12" s="6">
        <f>F13</f>
        <v>425500</v>
      </c>
    </row>
    <row r="13" spans="1:7" x14ac:dyDescent="0.35">
      <c r="A13" s="7" t="s">
        <v>49</v>
      </c>
      <c r="B13" s="6">
        <v>50000</v>
      </c>
      <c r="C13" s="6">
        <f>C12-B13</f>
        <v>86500</v>
      </c>
      <c r="D13" s="6">
        <f>C13+D12</f>
        <v>211000</v>
      </c>
      <c r="E13" s="6">
        <f>D13 + E12</f>
        <v>323500</v>
      </c>
      <c r="F13" s="6">
        <f>E13+F12</f>
        <v>425500</v>
      </c>
      <c r="G13" s="17"/>
    </row>
    <row r="14" spans="1:7" x14ac:dyDescent="0.35">
      <c r="A14" s="14"/>
    </row>
    <row r="15" spans="1:7" x14ac:dyDescent="0.35">
      <c r="A15" s="7" t="s">
        <v>45</v>
      </c>
      <c r="B15" s="6">
        <f>(G10-G6)/G6</f>
        <v>2.0407673860911273</v>
      </c>
    </row>
    <row r="17" spans="2:6" x14ac:dyDescent="0.35">
      <c r="B17" s="18"/>
      <c r="C17" s="18"/>
      <c r="D17" s="18"/>
      <c r="E17" s="18"/>
      <c r="F17" s="8"/>
    </row>
    <row r="18" spans="2:6" x14ac:dyDescent="0.35">
      <c r="F18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F3557-B8DA-411F-9A75-6F255CEC8765}">
  <dimension ref="A1:E7"/>
  <sheetViews>
    <sheetView topLeftCell="A21" zoomScale="85" zoomScaleNormal="85" workbookViewId="0">
      <selection activeCell="E23" sqref="E23"/>
    </sheetView>
  </sheetViews>
  <sheetFormatPr defaultRowHeight="14.5" x14ac:dyDescent="0.35"/>
  <cols>
    <col min="2" max="2" width="11.90625" bestFit="1" customWidth="1"/>
    <col min="3" max="3" width="11.453125" bestFit="1" customWidth="1"/>
    <col min="4" max="4" width="16.1796875" bestFit="1" customWidth="1"/>
    <col min="5" max="5" width="18.7265625" bestFit="1" customWidth="1"/>
  </cols>
  <sheetData>
    <row r="1" spans="1:5" ht="17" x14ac:dyDescent="0.4">
      <c r="A1" s="19" t="s">
        <v>7</v>
      </c>
      <c r="B1" s="19" t="s">
        <v>15</v>
      </c>
      <c r="C1" s="19" t="s">
        <v>14</v>
      </c>
      <c r="D1" s="19" t="s">
        <v>10</v>
      </c>
      <c r="E1" s="19" t="s">
        <v>11</v>
      </c>
    </row>
    <row r="2" spans="1:5" ht="17" x14ac:dyDescent="0.4">
      <c r="A2" s="20">
        <v>0</v>
      </c>
      <c r="B2" s="20">
        <v>50000</v>
      </c>
      <c r="C2" s="20">
        <v>0</v>
      </c>
      <c r="D2" s="20">
        <f>B2</f>
        <v>50000</v>
      </c>
      <c r="E2" s="20">
        <v>0</v>
      </c>
    </row>
    <row r="3" spans="1:5" ht="17" x14ac:dyDescent="0.4">
      <c r="A3" s="20">
        <v>1</v>
      </c>
      <c r="B3" s="20">
        <v>45500</v>
      </c>
      <c r="C3" s="20">
        <v>182000</v>
      </c>
      <c r="D3" s="20">
        <f>D2 +B3</f>
        <v>95500</v>
      </c>
      <c r="E3" s="20">
        <f>C3+E2</f>
        <v>182000</v>
      </c>
    </row>
    <row r="4" spans="1:5" ht="17" x14ac:dyDescent="0.4">
      <c r="A4" s="20">
        <v>2</v>
      </c>
      <c r="B4" s="20">
        <v>41500</v>
      </c>
      <c r="C4" s="20">
        <v>166000</v>
      </c>
      <c r="D4" s="20">
        <f t="shared" ref="D4:D6" si="0">D3 +B4</f>
        <v>137000</v>
      </c>
      <c r="E4" s="20">
        <f t="shared" ref="E4:E6" si="1">C4+E3</f>
        <v>348000</v>
      </c>
    </row>
    <row r="5" spans="1:5" ht="17" x14ac:dyDescent="0.4">
      <c r="A5" s="21">
        <v>3</v>
      </c>
      <c r="B5" s="21">
        <v>37500</v>
      </c>
      <c r="C5" s="21">
        <v>150000</v>
      </c>
      <c r="D5" s="20">
        <f t="shared" si="0"/>
        <v>174500</v>
      </c>
      <c r="E5" s="20">
        <f t="shared" si="1"/>
        <v>498000</v>
      </c>
    </row>
    <row r="6" spans="1:5" ht="17" x14ac:dyDescent="0.4">
      <c r="A6" s="21">
        <v>4</v>
      </c>
      <c r="B6" s="21">
        <v>34000</v>
      </c>
      <c r="C6" s="21">
        <v>136000</v>
      </c>
      <c r="D6" s="20">
        <f t="shared" si="0"/>
        <v>208500</v>
      </c>
      <c r="E6" s="20">
        <f t="shared" si="1"/>
        <v>634000</v>
      </c>
    </row>
    <row r="7" spans="1:5" x14ac:dyDescent="0.35">
      <c r="A7" s="17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WSM_Project</vt:lpstr>
      <vt:lpstr>WSM_Function</vt:lpstr>
      <vt:lpstr>NPV</vt:lpstr>
      <vt:lpstr>ROI</vt:lpstr>
      <vt:lpstr>Paypack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Administrator</cp:lastModifiedBy>
  <dcterms:created xsi:type="dcterms:W3CDTF">2025-10-27T09:18:58Z</dcterms:created>
  <dcterms:modified xsi:type="dcterms:W3CDTF">2025-10-28T06:57:24Z</dcterms:modified>
</cp:coreProperties>
</file>